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bookViews>
    <workbookView xWindow="-120" yWindow="-120" windowWidth="20736" windowHeight="11160"/>
  </bookViews>
  <sheets>
    <sheet name="TENTP" sheetId="1" r:id="rId1"/>
    <sheet name="DATA" sheetId="2" r:id="rId2"/>
    <sheet name="THUCDONTUAN" sheetId="4" r:id="rId3"/>
    <sheet name="Sheet1" sheetId="6" r:id="rId4"/>
    <sheet name="THANH PHAN DD" sheetId="5" state="veryHidden" r:id="rId5"/>
  </sheets>
  <functionGroups builtInGroupCount="18"/>
  <definedNames>
    <definedName name="_Fill" localSheetId="4" hidden="1">#REF!</definedName>
    <definedName name="_Fill" hidden="1">#REF!</definedName>
    <definedName name="_xlnm._FilterDatabase" localSheetId="4" hidden="1">'THANH PHAN DD'!$A$6:$U$348</definedName>
    <definedName name="_Key1" localSheetId="4" hidden="1">#REF!</definedName>
    <definedName name="_Key1" hidden="1">#REF!</definedName>
    <definedName name="_Key2" localSheetId="4" hidden="1">#REF!</definedName>
    <definedName name="_Key2" hidden="1">#REF!</definedName>
    <definedName name="_Order1" hidden="1">255</definedName>
    <definedName name="_Order2" hidden="1">255</definedName>
    <definedName name="_Sort" localSheetId="4" hidden="1">#REF!</definedName>
    <definedName name="_Sort" hidden="1">#REF!</definedName>
    <definedName name="Chieu2">THUCDONTUAN!$U$2:$U$19</definedName>
    <definedName name="Chieu3">THUCDONTUAN!$U$21:$U$39</definedName>
    <definedName name="Chieu4">THUCDONTUAN!$U$41:$U$60</definedName>
    <definedName name="Chieu5">THUCDONTUAN!$U$61:$U$79</definedName>
    <definedName name="Chieu6">THUCDONTUAN!$U$81:$U$99</definedName>
    <definedName name="Chieu7">THUCDONTUAN!$U$101:$U$119</definedName>
    <definedName name="ChieuCN">THUCDONTUAN!$U$121:$U$139</definedName>
    <definedName name="HANG">OFFSET('THANH PHAN DD'!$C$8,0,0,COUNTA('THANH PHAN DD'!$C$8:$C$996),1)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KcalCUNGCAP" localSheetId="4">'THANH PHAN DD'!$C$8:$U$496</definedName>
    <definedName name="MAMON">DATA!$AA$2:$AB$7</definedName>
    <definedName name="NgT_2">THUCDONTUAN!$Q$1:$U$19</definedName>
    <definedName name="_xlnm.Print_Titles" localSheetId="4">'THANH PHAN DD'!$6:$7</definedName>
    <definedName name="Sáng2">THUCDONTUAN!$S$2:$S$19</definedName>
    <definedName name="Sáng3">THUCDONTUAN!$S$21:$S$39</definedName>
    <definedName name="Sáng4">THUCDONTUAN!$S$41:$S$59</definedName>
    <definedName name="Sáng5">THUCDONTUAN!$S$61:$S$79</definedName>
    <definedName name="Sáng6">THUCDONTUAN!$S$81:$S$99</definedName>
    <definedName name="Sáng7">THUCDONTUAN!$S$101:$S$119</definedName>
    <definedName name="SángCN">THUCDONTUAN!$S$121:$S$139</definedName>
    <definedName name="TAMTINH">DATA!$M$1:$P$100</definedName>
    <definedName name="THUCDONCU">THUCDONTUAN!$AA$1:$AC$8</definedName>
    <definedName name="Trưa2">THUCDONTUAN!$T$2:$T$19</definedName>
    <definedName name="Trưa3">THUCDONTUAN!$T$21:$T$39</definedName>
    <definedName name="Trưa4">THUCDONTUAN!$T$41:$T$59</definedName>
    <definedName name="Trưa5">THUCDONTUAN!$T$61:$T$79</definedName>
    <definedName name="Trưa6">THUCDONTUAN!$T$81:$T$99</definedName>
    <definedName name="Trưa7">THUCDONTUAN!$T$101:$T$119</definedName>
    <definedName name="TrưaCN">THUCDONTUAN!$T$121:$T$139</definedName>
    <definedName name="Vung">DATA!$J$1:$K$21</definedName>
    <definedName name="VungNL">DATA!$M$1:$P$60</definedName>
  </definedNames>
  <calcPr calcId="162913" calcMode="manual"/>
</workbook>
</file>

<file path=xl/calcChain.xml><?xml version="1.0" encoding="utf-8"?>
<calcChain xmlns="http://schemas.openxmlformats.org/spreadsheetml/2006/main">
  <c r="J1" i="4" l="1"/>
  <c r="K1" i="4" l="1"/>
  <c r="A21" i="4"/>
  <c r="A22" i="4"/>
  <c r="A23" i="4"/>
  <c r="A24" i="4"/>
  <c r="A25" i="4"/>
  <c r="A26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" i="4"/>
  <c r="A27" i="4" l="1"/>
  <c r="AO1" i="2"/>
  <c r="N120" i="4" l="1"/>
  <c r="N100" i="4"/>
  <c r="N80" i="4"/>
  <c r="N60" i="4"/>
  <c r="N40" i="4"/>
  <c r="N20" i="4"/>
  <c r="N1" i="4"/>
  <c r="Q120" i="4" l="1"/>
  <c r="Q100" i="4"/>
  <c r="Q80" i="4"/>
  <c r="Q60" i="4"/>
  <c r="Q40" i="4"/>
  <c r="Q20" i="4"/>
  <c r="Q1" i="4"/>
  <c r="C3" i="4"/>
  <c r="C4" i="4"/>
  <c r="C5" i="4"/>
  <c r="C6" i="4"/>
  <c r="C7" i="4"/>
  <c r="C8" i="4"/>
  <c r="C9" i="4"/>
  <c r="C10" i="4"/>
  <c r="C11" i="4"/>
  <c r="C12" i="4"/>
  <c r="C2" i="4"/>
  <c r="Z2" i="4" l="1"/>
  <c r="Y2" i="4" s="1"/>
  <c r="Y1" i="4"/>
  <c r="Z3" i="4" l="1"/>
  <c r="Z4" i="4" s="1"/>
  <c r="Y4" i="4" s="1"/>
  <c r="Z5" i="4" l="1"/>
  <c r="Z6" i="4" s="1"/>
  <c r="Y3" i="4"/>
  <c r="Y5" i="4" l="1"/>
  <c r="Z7" i="4"/>
  <c r="Y6" i="4"/>
  <c r="P60" i="4"/>
  <c r="Y7" i="4" l="1"/>
  <c r="Z8" i="4"/>
  <c r="Y8" i="4" s="1"/>
  <c r="V1" i="2"/>
  <c r="T1" i="2"/>
  <c r="E6" i="1"/>
  <c r="E5" i="1"/>
  <c r="E4" i="1"/>
  <c r="E3" i="1"/>
  <c r="E7" i="1"/>
  <c r="P22" i="4" l="1"/>
  <c r="P122" i="4"/>
  <c r="P121" i="4"/>
  <c r="P120" i="4"/>
  <c r="P102" i="4"/>
  <c r="P101" i="4"/>
  <c r="P100" i="4"/>
  <c r="P82" i="4"/>
  <c r="P81" i="4"/>
  <c r="P80" i="4"/>
  <c r="P62" i="4"/>
  <c r="P61" i="4"/>
  <c r="P42" i="4"/>
  <c r="P41" i="4"/>
  <c r="P40" i="4"/>
  <c r="P21" i="4"/>
  <c r="P20" i="4"/>
  <c r="P3" i="4" l="1"/>
  <c r="P2" i="4"/>
  <c r="P1" i="4" l="1"/>
  <c r="E20" i="1"/>
  <c r="E24" i="1"/>
  <c r="E51" i="1"/>
  <c r="E60" i="1"/>
  <c r="E50" i="1"/>
  <c r="E29" i="1"/>
  <c r="E52" i="1"/>
  <c r="E27" i="1"/>
  <c r="E46" i="1"/>
  <c r="E22" i="1"/>
  <c r="E28" i="1"/>
  <c r="E32" i="1"/>
  <c r="E11" i="1"/>
  <c r="E56" i="1"/>
  <c r="E18" i="1"/>
  <c r="E55" i="1"/>
  <c r="C34" i="1" l="1"/>
  <c r="E66" i="1"/>
  <c r="E67" i="1"/>
  <c r="E10" i="1"/>
  <c r="E63" i="1"/>
  <c r="E34" i="1"/>
  <c r="E9" i="1"/>
  <c r="E68" i="1"/>
  <c r="E64" i="1"/>
  <c r="E62" i="1"/>
  <c r="T207" i="5" l="1"/>
  <c r="S207" i="5"/>
  <c r="Q207" i="5"/>
  <c r="P207" i="5"/>
  <c r="N207" i="5"/>
  <c r="M207" i="5"/>
  <c r="L207" i="5"/>
  <c r="K207" i="5"/>
  <c r="J207" i="5"/>
  <c r="I207" i="5"/>
  <c r="H207" i="5"/>
  <c r="G207" i="5"/>
  <c r="F207" i="5"/>
  <c r="E207" i="5"/>
  <c r="D207" i="5"/>
  <c r="T206" i="5"/>
  <c r="S206" i="5"/>
  <c r="Q206" i="5"/>
  <c r="P206" i="5"/>
  <c r="N206" i="5"/>
  <c r="M206" i="5"/>
  <c r="L206" i="5"/>
  <c r="K206" i="5"/>
  <c r="J206" i="5"/>
  <c r="I206" i="5"/>
  <c r="H206" i="5"/>
  <c r="G206" i="5"/>
  <c r="F206" i="5"/>
  <c r="E206" i="5"/>
  <c r="D206" i="5"/>
  <c r="T152" i="5"/>
  <c r="S152" i="5"/>
  <c r="R152" i="5"/>
  <c r="Q152" i="5"/>
  <c r="P152" i="5"/>
  <c r="O152" i="5"/>
  <c r="N152" i="5"/>
  <c r="M152" i="5"/>
  <c r="L152" i="5"/>
  <c r="K152" i="5"/>
  <c r="J152" i="5"/>
  <c r="I152" i="5"/>
  <c r="H152" i="5"/>
  <c r="G152" i="5"/>
  <c r="F152" i="5"/>
  <c r="E152" i="5"/>
  <c r="D152" i="5"/>
  <c r="T149" i="5"/>
  <c r="S149" i="5"/>
  <c r="R149" i="5"/>
  <c r="Q149" i="5"/>
  <c r="P149" i="5"/>
  <c r="O149" i="5"/>
  <c r="N149" i="5"/>
  <c r="M149" i="5"/>
  <c r="L149" i="5"/>
  <c r="K149" i="5"/>
  <c r="J149" i="5"/>
  <c r="I149" i="5"/>
  <c r="H149" i="5"/>
  <c r="G149" i="5"/>
  <c r="F149" i="5"/>
  <c r="E149" i="5"/>
  <c r="D149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T109" i="5"/>
  <c r="S109" i="5"/>
  <c r="R109" i="5"/>
  <c r="Q109" i="5"/>
  <c r="P109" i="5"/>
  <c r="N109" i="5"/>
  <c r="L109" i="5"/>
  <c r="K109" i="5"/>
  <c r="J109" i="5"/>
  <c r="I109" i="5"/>
  <c r="H109" i="5"/>
  <c r="G109" i="5"/>
  <c r="F109" i="5"/>
  <c r="E109" i="5"/>
  <c r="D109" i="5"/>
  <c r="E65" i="1"/>
  <c r="E47" i="1"/>
  <c r="E16" i="1"/>
  <c r="E79" i="1"/>
  <c r="E77" i="1"/>
  <c r="E25" i="1"/>
  <c r="E31" i="1"/>
  <c r="E53" i="1"/>
  <c r="E13" i="1"/>
  <c r="E19" i="1"/>
  <c r="E33" i="1"/>
  <c r="E83" i="1"/>
  <c r="E57" i="1"/>
  <c r="E80" i="1"/>
  <c r="E23" i="1"/>
  <c r="E74" i="1"/>
  <c r="E2" i="1"/>
  <c r="E69" i="1"/>
  <c r="E75" i="1"/>
  <c r="E58" i="1"/>
  <c r="E82" i="1"/>
  <c r="E8" i="1"/>
  <c r="E48" i="1"/>
  <c r="E17" i="1"/>
  <c r="E12" i="1"/>
  <c r="E49" i="1"/>
  <c r="E81" i="1"/>
  <c r="E73" i="1"/>
  <c r="E54" i="1"/>
  <c r="E14" i="1"/>
  <c r="E36" i="1"/>
  <c r="E35" i="1"/>
  <c r="E30" i="1"/>
  <c r="E76" i="1"/>
  <c r="E21" i="1"/>
  <c r="E26" i="1"/>
  <c r="E72" i="1"/>
  <c r="E15" i="1"/>
  <c r="E78" i="1"/>
</calcChain>
</file>

<file path=xl/sharedStrings.xml><?xml version="1.0" encoding="utf-8"?>
<sst xmlns="http://schemas.openxmlformats.org/spreadsheetml/2006/main" count="2270" uniqueCount="947">
  <si>
    <t>Ma</t>
  </si>
  <si>
    <t>A</t>
  </si>
  <si>
    <t>A1</t>
  </si>
  <si>
    <t>Cơm rang</t>
  </si>
  <si>
    <t>A3</t>
  </si>
  <si>
    <t>Bún</t>
  </si>
  <si>
    <t>Bún Ốc</t>
  </si>
  <si>
    <t>Phở gà</t>
  </si>
  <si>
    <t>A5</t>
  </si>
  <si>
    <t>Miến</t>
  </si>
  <si>
    <t>Miến gà</t>
  </si>
  <si>
    <t>Miến lươn</t>
  </si>
  <si>
    <t>A6</t>
  </si>
  <si>
    <t>Bánh</t>
  </si>
  <si>
    <t>Bánh mỳ</t>
  </si>
  <si>
    <t>Bánh chưng</t>
  </si>
  <si>
    <t>Bánh Ngọt</t>
  </si>
  <si>
    <t>A7</t>
  </si>
  <si>
    <t>Xôi</t>
  </si>
  <si>
    <t>Xôi đậu</t>
  </si>
  <si>
    <t>Xôi Ngô</t>
  </si>
  <si>
    <t>Xôi nếp</t>
  </si>
  <si>
    <t>B</t>
  </si>
  <si>
    <t>Thịt lợn nạc luộc</t>
  </si>
  <si>
    <t>B2</t>
  </si>
  <si>
    <t>Thịt bò</t>
  </si>
  <si>
    <t>Thịt bò rim</t>
  </si>
  <si>
    <t>Thịt bò hầm</t>
  </si>
  <si>
    <t>Thịt bê xào xả ớt</t>
  </si>
  <si>
    <t>Thịt bê luộc</t>
  </si>
  <si>
    <t>Thịt gà xáo</t>
  </si>
  <si>
    <t>Thịt gà tần thuốc bắc</t>
  </si>
  <si>
    <t>Lòng chó hấp</t>
  </si>
  <si>
    <t>Canh cá</t>
  </si>
  <si>
    <t>C2</t>
  </si>
  <si>
    <t>Cá biển</t>
  </si>
  <si>
    <t>Tôm rang cay</t>
  </si>
  <si>
    <t>Mực luộc</t>
  </si>
  <si>
    <t>C5</t>
  </si>
  <si>
    <t>Lươn</t>
  </si>
  <si>
    <t>Súp lươn</t>
  </si>
  <si>
    <t>C6</t>
  </si>
  <si>
    <t>Ếch</t>
  </si>
  <si>
    <t>Ếch xào cà</t>
  </si>
  <si>
    <t>Bún đậu</t>
  </si>
  <si>
    <t>Mã</t>
  </si>
  <si>
    <t>A8</t>
  </si>
  <si>
    <t>món</t>
  </si>
  <si>
    <t>Thịt lợn nạc kho tiêu</t>
  </si>
  <si>
    <t>Cơm tẻ</t>
  </si>
  <si>
    <t>Cơm rang hành</t>
  </si>
  <si>
    <t>Thịt bò xào</t>
  </si>
  <si>
    <t>D</t>
  </si>
  <si>
    <t>D1</t>
  </si>
  <si>
    <t>Rau muống luộc</t>
  </si>
  <si>
    <t>Thịt lợn kho hộp</t>
  </si>
  <si>
    <t>Cơm</t>
  </si>
  <si>
    <t>Cơm rang hành tỏi</t>
  </si>
  <si>
    <t>Ngũ cốc</t>
  </si>
  <si>
    <t>Cháo</t>
  </si>
  <si>
    <t>A2</t>
  </si>
  <si>
    <t>Cháo thịt</t>
  </si>
  <si>
    <t>Bún Bò</t>
  </si>
  <si>
    <t>Rau muống xào</t>
  </si>
  <si>
    <t>Thịt lợn 3 chỉ luộc</t>
  </si>
  <si>
    <t>Thịt lợn</t>
  </si>
  <si>
    <t>B11</t>
  </si>
  <si>
    <t>Hải sản</t>
  </si>
  <si>
    <t>Rau các loại</t>
  </si>
  <si>
    <t>C1</t>
  </si>
  <si>
    <t>Cá biển kho</t>
  </si>
  <si>
    <t xml:space="preserve">Khoai tây chiên </t>
  </si>
  <si>
    <t>C</t>
  </si>
  <si>
    <t>Thịt gà</t>
  </si>
  <si>
    <t>B3</t>
  </si>
  <si>
    <t>Thịt chó</t>
  </si>
  <si>
    <t>B4</t>
  </si>
  <si>
    <t>Cơm rang thập cẩm</t>
  </si>
  <si>
    <t>Thịt gà luộc</t>
  </si>
  <si>
    <t>Rau khoai luộc</t>
  </si>
  <si>
    <t>B31</t>
  </si>
  <si>
    <t>Rau</t>
  </si>
  <si>
    <t>Cá đồng</t>
  </si>
  <si>
    <t>C11</t>
  </si>
  <si>
    <t>Tôm</t>
  </si>
  <si>
    <t>Mực</t>
  </si>
  <si>
    <t>C3</t>
  </si>
  <si>
    <t>C4</t>
  </si>
  <si>
    <t>C12</t>
  </si>
  <si>
    <t>Cá đồng rán Sốt cà chua</t>
  </si>
  <si>
    <t>Cá biển rán Sốt cà chua</t>
  </si>
  <si>
    <t>Canh khoai tây nấu xương</t>
  </si>
  <si>
    <t>Khoai tây</t>
  </si>
  <si>
    <t>Canh khoai sọ nấu xương</t>
  </si>
  <si>
    <t>Phở</t>
  </si>
  <si>
    <t>A4</t>
  </si>
  <si>
    <t>Thịt các loại</t>
  </si>
  <si>
    <t>B¶NG THµNH PHÇN dinh d­ìng thøc ¨n viÖt nam</t>
  </si>
  <si>
    <t>Gạo tẻ</t>
  </si>
  <si>
    <t>Than củi</t>
  </si>
  <si>
    <t>Nước mắm cốt</t>
  </si>
  <si>
    <t>N mắm CB</t>
  </si>
  <si>
    <t>Dấm chua</t>
  </si>
  <si>
    <t>Nghệ tươi</t>
  </si>
  <si>
    <t>Ớt tươi</t>
  </si>
  <si>
    <t>BFEBFBFF000206A7</t>
  </si>
  <si>
    <t xml:space="preserve">                                         Thành phần dinh dưỡng trong 100 g thực phẩm ăn được  </t>
  </si>
  <si>
    <t xml:space="preserve">                                     (Số liệu của Viện Dinh dưỡng Việt nam -VDD-2000)</t>
  </si>
  <si>
    <t>WD-WCAYUKL04211</t>
  </si>
  <si>
    <t>Mã SP</t>
  </si>
  <si>
    <t>TT</t>
  </si>
  <si>
    <t>Ten Thực phẩm</t>
  </si>
  <si>
    <t>Tỷ lệ loại bỏ</t>
  </si>
  <si>
    <t>Thành phần chính (g)</t>
  </si>
  <si>
    <t>Muối khoáng (mg)</t>
  </si>
  <si>
    <t>Vitamin (mg)</t>
  </si>
  <si>
    <t>Lương thực</t>
  </si>
  <si>
    <t>Thịt xô lọc</t>
  </si>
  <si>
    <r>
      <t xml:space="preserve">Thịt lợn nạc  
</t>
    </r>
    <r>
      <rPr>
        <sz val="8"/>
        <rFont val="Times New Roman"/>
        <family val="1"/>
      </rPr>
      <t>(giò, chả nạc; 
ruốc thịt lợn ...)</t>
    </r>
  </si>
  <si>
    <r>
      <t xml:space="preserve">Thịt </t>
    </r>
    <r>
      <rPr>
        <sz val="8"/>
        <rFont val="Times New Roman"/>
        <family val="1"/>
      </rPr>
      <t>bò loại 1, loại 2 
(giò bò, giò nghé; 
thịt trâu, dê, ngựa ...)</t>
    </r>
  </si>
  <si>
    <t>Thịt gia cầm</t>
  </si>
  <si>
    <t>Cá Tôm qui tươi</t>
  </si>
  <si>
    <t>Trứng gia cầm</t>
  </si>
  <si>
    <t>Đậu phụ</t>
  </si>
  <si>
    <t>Dầu, mỡ ăn</t>
  </si>
  <si>
    <t>Vừng lạc</t>
  </si>
  <si>
    <t>Đậu hạt</t>
  </si>
  <si>
    <t>Rau, củ, quả</t>
  </si>
  <si>
    <t>Nước mắm</t>
  </si>
  <si>
    <t>Hoa quả</t>
  </si>
  <si>
    <t>Đường RE</t>
  </si>
  <si>
    <t>Sữa</t>
  </si>
  <si>
    <t>Chất  đốt</t>
  </si>
  <si>
    <t>Thực phẩm đóng hộp</t>
  </si>
  <si>
    <t>Gia vị</t>
  </si>
  <si>
    <t>Khác</t>
  </si>
  <si>
    <t>Kcal</t>
  </si>
  <si>
    <t>Nước</t>
  </si>
  <si>
    <t>P</t>
  </si>
  <si>
    <t>L</t>
  </si>
  <si>
    <t>G</t>
  </si>
  <si>
    <t>Cellulose</t>
  </si>
  <si>
    <t>Tro</t>
  </si>
  <si>
    <t>Calci</t>
  </si>
  <si>
    <t>Phốt pho</t>
  </si>
  <si>
    <t>Sắt</t>
  </si>
  <si>
    <t>Vitamin A</t>
  </si>
  <si>
    <t>Vitamin Beta-caroten</t>
  </si>
  <si>
    <t>Vitamin B1</t>
  </si>
  <si>
    <t>Vitamin B2</t>
  </si>
  <si>
    <t>Vitamin PP</t>
  </si>
  <si>
    <t>Vitamin C</t>
  </si>
  <si>
    <t>loại 1</t>
  </si>
  <si>
    <t>loại 2</t>
  </si>
  <si>
    <t>cộng</t>
  </si>
  <si>
    <t>NC</t>
  </si>
  <si>
    <t>Gạo nếp</t>
  </si>
  <si>
    <t>TL2</t>
  </si>
  <si>
    <t>TL1</t>
  </si>
  <si>
    <t>TB</t>
  </si>
  <si>
    <t>TG2</t>
  </si>
  <si>
    <t>TG1</t>
  </si>
  <si>
    <t>HS</t>
  </si>
  <si>
    <t>TrG</t>
  </si>
  <si>
    <t>DP</t>
  </si>
  <si>
    <t>DM</t>
  </si>
  <si>
    <t>VL</t>
  </si>
  <si>
    <t>DH</t>
  </si>
  <si>
    <t>R2</t>
  </si>
  <si>
    <t>R1</t>
  </si>
  <si>
    <t>NM</t>
  </si>
  <si>
    <t>HQ</t>
  </si>
  <si>
    <t>GLU</t>
  </si>
  <si>
    <t>S</t>
  </si>
  <si>
    <t>CD</t>
  </si>
  <si>
    <t>TPH</t>
  </si>
  <si>
    <t>GV</t>
  </si>
  <si>
    <t>K</t>
  </si>
  <si>
    <t>Gạo quê</t>
  </si>
  <si>
    <t>Lá nem</t>
  </si>
  <si>
    <t>-</t>
  </si>
  <si>
    <r>
      <t xml:space="preserve">Thịt lợn nạc </t>
    </r>
    <r>
      <rPr>
        <sz val="8"/>
        <rFont val="Times New Roman"/>
        <family val="1"/>
      </rPr>
      <t>(giò, chả nạc; ruốc thịt lợn ...)</t>
    </r>
  </si>
  <si>
    <t>Bánh phở</t>
  </si>
  <si>
    <r>
      <t xml:space="preserve">Thịt </t>
    </r>
    <r>
      <rPr>
        <sz val="8"/>
        <rFont val="Times New Roman"/>
        <family val="1"/>
      </rPr>
      <t>bò loại 1, loại 2 (Giò bò, giò nghé; thịt trâu, dê, ngựa ...)</t>
    </r>
  </si>
  <si>
    <t>Bột gạo nếp</t>
  </si>
  <si>
    <t>Thịt gia cầm loại 2</t>
  </si>
  <si>
    <t>Bột gạo tẻ</t>
  </si>
  <si>
    <t>Thịt gia cầm loại 1</t>
  </si>
  <si>
    <t>Bột mỳ</t>
  </si>
  <si>
    <t>Cá, tôm quy tươi</t>
  </si>
  <si>
    <t>Miến gạo</t>
  </si>
  <si>
    <t>Ngô nếp luộc</t>
  </si>
  <si>
    <t>Khoai lang nghệ</t>
  </si>
  <si>
    <t>1,470,0</t>
  </si>
  <si>
    <t>Khoai sọ</t>
  </si>
  <si>
    <t>Rau, củ, quả loại 2</t>
  </si>
  <si>
    <t>Miến dong</t>
  </si>
  <si>
    <t>Rau, củ, quả loại 1</t>
  </si>
  <si>
    <t>Bột sắn dây</t>
  </si>
  <si>
    <t>Cùi dừa</t>
  </si>
  <si>
    <t>Hoa quả các loại</t>
  </si>
  <si>
    <t>Đậu đen</t>
  </si>
  <si>
    <t>Đậu tương</t>
  </si>
  <si>
    <t>Đậu xanh</t>
  </si>
  <si>
    <t>Chất đốt</t>
  </si>
  <si>
    <t xml:space="preserve">Vừng </t>
  </si>
  <si>
    <t>1,200,0</t>
  </si>
  <si>
    <t>Lạc nhân</t>
  </si>
  <si>
    <t>Bầu trắng</t>
  </si>
  <si>
    <t>Bí xanh</t>
  </si>
  <si>
    <t>Bí đỏ</t>
  </si>
  <si>
    <t>Cà bát</t>
  </si>
  <si>
    <t>Cà dừa</t>
  </si>
  <si>
    <t>Cà chua</t>
  </si>
  <si>
    <t>1,115,0</t>
  </si>
  <si>
    <t>Cà pháo</t>
  </si>
  <si>
    <t>Cà rốt</t>
  </si>
  <si>
    <t>5,040,0</t>
  </si>
  <si>
    <t>Cà tím</t>
  </si>
  <si>
    <t>Bắp cải</t>
  </si>
  <si>
    <t>Bắp cải đỏ</t>
  </si>
  <si>
    <t>Cải cúc</t>
  </si>
  <si>
    <t>Cải soong</t>
  </si>
  <si>
    <t>1,820,0</t>
  </si>
  <si>
    <t>Rau cải thìa</t>
  </si>
  <si>
    <t>2,365,0</t>
  </si>
  <si>
    <t>Cải xanh</t>
  </si>
  <si>
    <t>1,855,0</t>
  </si>
  <si>
    <t>Rau cần</t>
  </si>
  <si>
    <t>2,045,0</t>
  </si>
  <si>
    <t>Rau cần tây</t>
  </si>
  <si>
    <t>5,000,0</t>
  </si>
  <si>
    <t>Chuối xanh</t>
  </si>
  <si>
    <t>Củ cải</t>
  </si>
  <si>
    <t>Củ đậu</t>
  </si>
  <si>
    <t>Rau mùng</t>
  </si>
  <si>
    <t>Dưa chuột</t>
  </si>
  <si>
    <t>Đậu ve</t>
  </si>
  <si>
    <t>Đậu dải</t>
  </si>
  <si>
    <t>Đậu rồng</t>
  </si>
  <si>
    <t>Đu đủ xanh</t>
  </si>
  <si>
    <t>Giá đậu xanh</t>
  </si>
  <si>
    <t>Hành củ</t>
  </si>
  <si>
    <t>Hành lá</t>
  </si>
  <si>
    <t>1,370,0</t>
  </si>
  <si>
    <t>Hành tây</t>
  </si>
  <si>
    <t>Rau hẹ</t>
  </si>
  <si>
    <t>1,745,0</t>
  </si>
  <si>
    <t>Hoa chuối</t>
  </si>
  <si>
    <t>Hoa lý</t>
  </si>
  <si>
    <t>Khế</t>
  </si>
  <si>
    <t>Lá lốt</t>
  </si>
  <si>
    <t>4,050,0</t>
  </si>
  <si>
    <t xml:space="preserve">Lá me </t>
  </si>
  <si>
    <t>Lá mơ lông</t>
  </si>
  <si>
    <t>Măng chua</t>
  </si>
  <si>
    <t>Măng khô</t>
  </si>
  <si>
    <t>Măng tây</t>
  </si>
  <si>
    <t>Măng tre</t>
  </si>
  <si>
    <t xml:space="preserve">Mướp </t>
  </si>
  <si>
    <t>Mướp đắng</t>
  </si>
  <si>
    <t>Ngải cứu</t>
  </si>
  <si>
    <t>Ngô bao tử</t>
  </si>
  <si>
    <t>Ớt quả</t>
  </si>
  <si>
    <t>Quả me chua</t>
  </si>
  <si>
    <t>Rau bí</t>
  </si>
  <si>
    <t>1,940,0</t>
  </si>
  <si>
    <t>Rau câu khô</t>
  </si>
  <si>
    <t>Rau diếp</t>
  </si>
  <si>
    <t>1,250,0</t>
  </si>
  <si>
    <t>Rau đay</t>
  </si>
  <si>
    <t>4,560,0</t>
  </si>
  <si>
    <t>Rau diếp cá</t>
  </si>
  <si>
    <t>Rau giền</t>
  </si>
  <si>
    <t>Rau húng</t>
  </si>
  <si>
    <t>5,550,0</t>
  </si>
  <si>
    <t>Rau khoai lang</t>
  </si>
  <si>
    <t>1,830,0</t>
  </si>
  <si>
    <t>Rau kinh giới</t>
  </si>
  <si>
    <t>4,360,0</t>
  </si>
  <si>
    <t>Rau má</t>
  </si>
  <si>
    <t>1,300,0</t>
  </si>
  <si>
    <t>Rau mồng tơi</t>
  </si>
  <si>
    <t>1,920,0</t>
  </si>
  <si>
    <t>Rau mùi</t>
  </si>
  <si>
    <t>Rau mùi tàu</t>
  </si>
  <si>
    <t>3,980,0</t>
  </si>
  <si>
    <t>Rau muống</t>
  </si>
  <si>
    <t>2,280,0</t>
  </si>
  <si>
    <t>Rau ngổ</t>
  </si>
  <si>
    <t>2,325,0</t>
  </si>
  <si>
    <t>Rau ngót</t>
  </si>
  <si>
    <t>6,650,0</t>
  </si>
  <si>
    <t>Rau răm</t>
  </si>
  <si>
    <t>Rau sà lách</t>
  </si>
  <si>
    <t>1,050,0</t>
  </si>
  <si>
    <t>Rau sam</t>
  </si>
  <si>
    <t>Rau thơm</t>
  </si>
  <si>
    <t>3,560,0</t>
  </si>
  <si>
    <t>Rau canh vặt</t>
  </si>
  <si>
    <t>Xu hào</t>
  </si>
  <si>
    <t>Xu le</t>
  </si>
  <si>
    <t>Súp lơ</t>
  </si>
  <si>
    <t>Thì là</t>
  </si>
  <si>
    <t>2,850,0</t>
  </si>
  <si>
    <t>Tía tô</t>
  </si>
  <si>
    <t>5,520,0</t>
  </si>
  <si>
    <t xml:space="preserve">Tỏi khô </t>
  </si>
  <si>
    <t>Tỏi tây</t>
  </si>
  <si>
    <t>Cà muối nén</t>
  </si>
  <si>
    <t>Cà muối sổi</t>
  </si>
  <si>
    <t>Cà muối</t>
  </si>
  <si>
    <t>Dưa cải bắp</t>
  </si>
  <si>
    <t>Dưa cải bẹ</t>
  </si>
  <si>
    <t>Dưa muối</t>
  </si>
  <si>
    <t>Dưa món</t>
  </si>
  <si>
    <t>Dưa hành</t>
  </si>
  <si>
    <t>Mộc nhĩ</t>
  </si>
  <si>
    <t>Nấm hương</t>
  </si>
  <si>
    <t>Nấm mỡ</t>
  </si>
  <si>
    <t>Nấm rơm</t>
  </si>
  <si>
    <t>Nấm thường</t>
  </si>
  <si>
    <t>Cam</t>
  </si>
  <si>
    <t>Chanh</t>
  </si>
  <si>
    <t>Chôm chôm</t>
  </si>
  <si>
    <t>Chuối tây</t>
  </si>
  <si>
    <t>Chuối tiêu</t>
  </si>
  <si>
    <t>Chuối chín</t>
  </si>
  <si>
    <t>Dưa hấu</t>
  </si>
  <si>
    <t>4,200,0</t>
  </si>
  <si>
    <t>Dứa xanh</t>
  </si>
  <si>
    <t>Đu đủ chín</t>
  </si>
  <si>
    <t>2,100,0</t>
  </si>
  <si>
    <t>Hồng ngâm</t>
  </si>
  <si>
    <t>1,615,0</t>
  </si>
  <si>
    <t>Quýt</t>
  </si>
  <si>
    <t>1,625,0</t>
  </si>
  <si>
    <t>Táo tây</t>
  </si>
  <si>
    <t xml:space="preserve">Vải    </t>
  </si>
  <si>
    <t>Xoài chín</t>
  </si>
  <si>
    <t>Dầu thực vật</t>
  </si>
  <si>
    <t>Dầu ăn Mavela</t>
  </si>
  <si>
    <t>Dầu ăn</t>
  </si>
  <si>
    <t>Thịt bê mỡ</t>
  </si>
  <si>
    <t>Thịt bê nạc</t>
  </si>
  <si>
    <t>Thịt bò L1</t>
  </si>
  <si>
    <t>Thịt bò L2</t>
  </si>
  <si>
    <t>Thịt bò L3</t>
  </si>
  <si>
    <t>Thịt chó sấn</t>
  </si>
  <si>
    <t>Thịt chó vai</t>
  </si>
  <si>
    <t>Thịt gà cỏ</t>
  </si>
  <si>
    <t>Thịt gà lai</t>
  </si>
  <si>
    <t>Thịt gà CN</t>
  </si>
  <si>
    <t>Thịt lợn mỡ</t>
  </si>
  <si>
    <t>Thịt lợn nạc</t>
  </si>
  <si>
    <t>Thịt lợn vai</t>
  </si>
  <si>
    <t>Thịt lợn mông</t>
  </si>
  <si>
    <t>Thịt lợn 3 chỉ</t>
  </si>
  <si>
    <t>Thịt lợn xô</t>
  </si>
  <si>
    <t>Thịt trâu bắp</t>
  </si>
  <si>
    <t>Thịt trâu cổ</t>
  </si>
  <si>
    <t>Thịt trâu đùi</t>
  </si>
  <si>
    <t>Thịt trâu thăn</t>
  </si>
  <si>
    <t>Thịt vịt</t>
  </si>
  <si>
    <t>Chân giò lợn (bỏ xương)</t>
  </si>
  <si>
    <t>Chân thủ lợn</t>
  </si>
  <si>
    <t>Lòng lợn</t>
  </si>
  <si>
    <t>Lòng gà</t>
  </si>
  <si>
    <t>Xương sườn lợn</t>
  </si>
  <si>
    <t>Chả quế lợn</t>
  </si>
  <si>
    <t>Giò bò</t>
  </si>
  <si>
    <t>Dò nạc</t>
  </si>
  <si>
    <t>Giò thủ</t>
  </si>
  <si>
    <t>Dò mỡ</t>
  </si>
  <si>
    <t>Nem chua</t>
  </si>
  <si>
    <t>Ruốc thịt lợn</t>
  </si>
  <si>
    <t>Xúc xích</t>
  </si>
  <si>
    <t>Cá bống</t>
  </si>
  <si>
    <t>Cá chày</t>
  </si>
  <si>
    <t>Cá chép</t>
  </si>
  <si>
    <t>Cá bạc má</t>
  </si>
  <si>
    <t>Cá dầu</t>
  </si>
  <si>
    <t>Cá diếc</t>
  </si>
  <si>
    <t>Cá đao</t>
  </si>
  <si>
    <t>Cá đé</t>
  </si>
  <si>
    <t>Cá đối</t>
  </si>
  <si>
    <t>Cá đồng tiền</t>
  </si>
  <si>
    <t>Cá hồi</t>
  </si>
  <si>
    <t>Cá khô</t>
  </si>
  <si>
    <t>Cá lác</t>
  </si>
  <si>
    <t>Cá mè</t>
  </si>
  <si>
    <t>Cá mòi</t>
  </si>
  <si>
    <t>Cá mỡ</t>
  </si>
  <si>
    <t>Cá mối</t>
  </si>
  <si>
    <t>Cá nạc</t>
  </si>
  <si>
    <t>Cá ngừ</t>
  </si>
  <si>
    <t>Cá nục</t>
  </si>
  <si>
    <t>Cá phèn</t>
  </si>
  <si>
    <t>Cá quả</t>
  </si>
  <si>
    <t>Cá rô đồng</t>
  </si>
  <si>
    <t>Cá rô phi</t>
  </si>
  <si>
    <t>Cá thờn bơn</t>
  </si>
  <si>
    <t>Cá thu trắng</t>
  </si>
  <si>
    <t>Cá thu ù</t>
  </si>
  <si>
    <t>Cá thu phi lê</t>
  </si>
  <si>
    <t>Cá trạch</t>
  </si>
  <si>
    <t>Cá trắm</t>
  </si>
  <si>
    <t>Cá trê</t>
  </si>
  <si>
    <t>Cá trích</t>
  </si>
  <si>
    <t>Cá trôi</t>
  </si>
  <si>
    <t>Cá chim</t>
  </si>
  <si>
    <t>Cá đồng</t>
  </si>
  <si>
    <t>Cua đồng</t>
  </si>
  <si>
    <t>Hến</t>
  </si>
  <si>
    <t>Ốc bươu</t>
  </si>
  <si>
    <t>1,310,0</t>
  </si>
  <si>
    <t>Ốc đá</t>
  </si>
  <si>
    <t>1,660,0</t>
  </si>
  <si>
    <t>Ốc nhồi</t>
  </si>
  <si>
    <t>1,357,0</t>
  </si>
  <si>
    <t>Sò</t>
  </si>
  <si>
    <t>Tép moi</t>
  </si>
  <si>
    <t>Tép khô</t>
  </si>
  <si>
    <t>2,000,0</t>
  </si>
  <si>
    <t>Tôm biển</t>
  </si>
  <si>
    <t>Tôm đồng</t>
  </si>
  <si>
    <t>1,120,0</t>
  </si>
  <si>
    <t>Tôm khô</t>
  </si>
  <si>
    <t>Trai</t>
  </si>
  <si>
    <t>Trg</t>
  </si>
  <si>
    <t>Trứng gà</t>
  </si>
  <si>
    <t>Trứng vịt</t>
  </si>
  <si>
    <t>Trứng vịt lộn</t>
  </si>
  <si>
    <t>Sữa chua</t>
  </si>
  <si>
    <t>Sữa đặc có đường</t>
  </si>
  <si>
    <t>Cá thu hộp</t>
  </si>
  <si>
    <t>Cá trích hộp</t>
  </si>
  <si>
    <t>Thịt bò hộp</t>
  </si>
  <si>
    <t>Thịt gà hộp</t>
  </si>
  <si>
    <t>Thịt lợn hộp</t>
  </si>
  <si>
    <t xml:space="preserve">Thịt lợn xay </t>
  </si>
  <si>
    <t xml:space="preserve">Thịt bò xay </t>
  </si>
  <si>
    <t>Đường trắng</t>
  </si>
  <si>
    <t>Gừng tươi</t>
  </si>
  <si>
    <t>Tiêu bắc</t>
  </si>
  <si>
    <t>Muối trắng</t>
  </si>
  <si>
    <t>Bột nghệ</t>
  </si>
  <si>
    <t>Nghệ củ tươi</t>
  </si>
  <si>
    <t>Ót bột</t>
  </si>
  <si>
    <t>8,442,0</t>
  </si>
  <si>
    <t>Riềng</t>
  </si>
  <si>
    <t>Sã</t>
  </si>
  <si>
    <t>Mắm tôm đặc</t>
  </si>
  <si>
    <t>Mắm tôm loãng</t>
  </si>
  <si>
    <t>Nước mắm đặc biệt</t>
  </si>
  <si>
    <t>Nước mắm L1</t>
  </si>
  <si>
    <t>Nước mắm CB</t>
  </si>
  <si>
    <t>Nước mắm cô</t>
  </si>
  <si>
    <t>Tương nếp</t>
  </si>
  <si>
    <t>Tương ớt</t>
  </si>
  <si>
    <t>Xì dầu</t>
  </si>
  <si>
    <t>DU</t>
  </si>
  <si>
    <t>Rượu nếp</t>
  </si>
  <si>
    <t>,-</t>
  </si>
  <si>
    <t>Rượu trắng</t>
  </si>
  <si>
    <t>Mật mía</t>
  </si>
  <si>
    <t>Kẹo đắng</t>
  </si>
  <si>
    <t>Dầu rửa</t>
  </si>
  <si>
    <t>Tăm, giấy lau</t>
  </si>
  <si>
    <t>Mì chính VEDAN</t>
  </si>
  <si>
    <t>Chè xanh</t>
  </si>
  <si>
    <t>sả</t>
  </si>
  <si>
    <t>11.5</t>
  </si>
  <si>
    <t>82</t>
  </si>
  <si>
    <t>Chè vằng</t>
  </si>
  <si>
    <t>10</t>
  </si>
  <si>
    <t>Rau vặt</t>
  </si>
  <si>
    <t>29.75</t>
  </si>
  <si>
    <t>Gừng nghệ</t>
  </si>
  <si>
    <t>25</t>
  </si>
  <si>
    <t>Giá đậu</t>
  </si>
  <si>
    <t>43</t>
  </si>
  <si>
    <t>Rau sống</t>
  </si>
  <si>
    <t>18</t>
  </si>
  <si>
    <t>86</t>
  </si>
  <si>
    <t>28</t>
  </si>
  <si>
    <t>Mì chính</t>
  </si>
  <si>
    <t>0</t>
  </si>
  <si>
    <t>Tỏi khô</t>
  </si>
  <si>
    <t>118</t>
  </si>
  <si>
    <t>Ớt bột</t>
  </si>
  <si>
    <t>227</t>
  </si>
  <si>
    <t>Tăm giấy</t>
  </si>
  <si>
    <t>Thịt xô</t>
  </si>
  <si>
    <t>199.5</t>
  </si>
  <si>
    <t>Hành tăm</t>
  </si>
  <si>
    <t>22</t>
  </si>
  <si>
    <t>Rau khoai</t>
  </si>
  <si>
    <t>Thịt nạc</t>
  </si>
  <si>
    <t>139</t>
  </si>
  <si>
    <t>Dầu rửa sunlai</t>
  </si>
  <si>
    <t>Thịt xay</t>
  </si>
  <si>
    <t>Bột điều</t>
  </si>
  <si>
    <t>360</t>
  </si>
  <si>
    <t>Thịt gà mía</t>
  </si>
  <si>
    <t>199</t>
  </si>
  <si>
    <t>Thịt ngan</t>
  </si>
  <si>
    <t>267</t>
  </si>
  <si>
    <t>Ruốc</t>
  </si>
  <si>
    <t>73</t>
  </si>
  <si>
    <t>Rau cải</t>
  </si>
  <si>
    <t>16</t>
  </si>
  <si>
    <t>Thịt me</t>
  </si>
  <si>
    <t>85</t>
  </si>
  <si>
    <t>Cá lô cố</t>
  </si>
  <si>
    <t>71</t>
  </si>
  <si>
    <t>Lươn đồng</t>
  </si>
  <si>
    <t>94</t>
  </si>
  <si>
    <t>Dưa cải</t>
  </si>
  <si>
    <t>17</t>
  </si>
  <si>
    <t>Lưỡi, dạ dày</t>
  </si>
  <si>
    <t>100.8</t>
  </si>
  <si>
    <t>Dứa</t>
  </si>
  <si>
    <t>38</t>
  </si>
  <si>
    <t>Cá sòng</t>
  </si>
  <si>
    <t>Cá sông</t>
  </si>
  <si>
    <t>Chả cá</t>
  </si>
  <si>
    <t>35</t>
  </si>
  <si>
    <t>166</t>
  </si>
  <si>
    <t>Rau cải ngọt</t>
  </si>
  <si>
    <t>Mùng bạc hà</t>
  </si>
  <si>
    <t>20</t>
  </si>
  <si>
    <t>5</t>
  </si>
  <si>
    <t>Lá nghệ</t>
  </si>
  <si>
    <t>11</t>
  </si>
  <si>
    <t>Lá chanh</t>
  </si>
  <si>
    <t>Giấm chua</t>
  </si>
  <si>
    <t>Bột xúp</t>
  </si>
  <si>
    <t/>
  </si>
  <si>
    <t>87.5</t>
  </si>
  <si>
    <t>Củi khô</t>
  </si>
  <si>
    <t>Tôm sông</t>
  </si>
  <si>
    <t>30</t>
  </si>
  <si>
    <t>Sườn</t>
  </si>
  <si>
    <t>187</t>
  </si>
  <si>
    <t>Riềng, sả</t>
  </si>
  <si>
    <t>Chuối</t>
  </si>
  <si>
    <t>97</t>
  </si>
  <si>
    <t>Nấm</t>
  </si>
  <si>
    <t>32</t>
  </si>
  <si>
    <t>Giò nạc</t>
  </si>
  <si>
    <t>95</t>
  </si>
  <si>
    <t>Xương</t>
  </si>
  <si>
    <t>Lưỡi dạ dày</t>
  </si>
  <si>
    <t>3</t>
  </si>
  <si>
    <t>Chân thủ</t>
  </si>
  <si>
    <t>34</t>
  </si>
  <si>
    <t>282.5</t>
  </si>
  <si>
    <t>Thịt gà LP</t>
  </si>
  <si>
    <t>52</t>
  </si>
  <si>
    <t>195</t>
  </si>
  <si>
    <t>111</t>
  </si>
  <si>
    <t>Dứa chín</t>
  </si>
  <si>
    <t>40</t>
  </si>
  <si>
    <t>Cá trê phi</t>
  </si>
  <si>
    <t>173</t>
  </si>
  <si>
    <t>Cá nục chuối</t>
  </si>
  <si>
    <t>Gạo tẻ X23</t>
  </si>
  <si>
    <t>1</t>
  </si>
  <si>
    <t>344</t>
  </si>
  <si>
    <t>14</t>
  </si>
  <si>
    <t>Cá thu cam</t>
  </si>
  <si>
    <t>Măng rừng</t>
  </si>
  <si>
    <t>50</t>
  </si>
  <si>
    <t>Mùng</t>
  </si>
  <si>
    <t xml:space="preserve">Cá trôi </t>
  </si>
  <si>
    <t>27.6</t>
  </si>
  <si>
    <t>127</t>
  </si>
  <si>
    <t xml:space="preserve">Rau muống </t>
  </si>
  <si>
    <t>15</t>
  </si>
  <si>
    <t>23</t>
  </si>
  <si>
    <t>Mì tôm</t>
  </si>
  <si>
    <t>Bánh mướt</t>
  </si>
  <si>
    <t>359</t>
  </si>
  <si>
    <t>346</t>
  </si>
  <si>
    <t>Mực Tươi</t>
  </si>
  <si>
    <t>Rau cúc</t>
  </si>
  <si>
    <t>362</t>
  </si>
  <si>
    <t>Riềng,sả</t>
  </si>
  <si>
    <t>Cà rot</t>
  </si>
  <si>
    <t>Thịt mông</t>
  </si>
  <si>
    <t>2</t>
  </si>
  <si>
    <t>Bánh chung</t>
  </si>
  <si>
    <t xml:space="preserve">Cà muối </t>
  </si>
  <si>
    <t>13</t>
  </si>
  <si>
    <t>Gạo thơm</t>
  </si>
  <si>
    <t>Su hào</t>
  </si>
  <si>
    <t>36</t>
  </si>
  <si>
    <t>Gạo tám thơm</t>
  </si>
  <si>
    <t>Gạo X23</t>
  </si>
  <si>
    <t>Thịt gà míc</t>
  </si>
  <si>
    <t>Cá nục gai</t>
  </si>
  <si>
    <t>Cá lóc</t>
  </si>
  <si>
    <t>Rau dền</t>
  </si>
  <si>
    <t>26</t>
  </si>
  <si>
    <t>41.5</t>
  </si>
  <si>
    <t>Củi ép</t>
  </si>
  <si>
    <t>Than củi ép</t>
  </si>
  <si>
    <t>Đậu ván</t>
  </si>
  <si>
    <t>57</t>
  </si>
  <si>
    <t>Cá trứng</t>
  </si>
  <si>
    <t>45</t>
  </si>
  <si>
    <t>70</t>
  </si>
  <si>
    <t>Mướp</t>
  </si>
  <si>
    <t>12</t>
  </si>
  <si>
    <t>Thịt ngan đen</t>
  </si>
  <si>
    <t>55</t>
  </si>
  <si>
    <t>Than trấu</t>
  </si>
  <si>
    <t>CỘNG</t>
  </si>
  <si>
    <t>Cơm nắm vừng</t>
  </si>
  <si>
    <t>E</t>
  </si>
  <si>
    <t>Hoa quả</t>
  </si>
  <si>
    <t>E1</t>
  </si>
  <si>
    <t>Bưởi</t>
  </si>
  <si>
    <t>Xoài</t>
  </si>
  <si>
    <t>Quýt</t>
  </si>
  <si>
    <t xml:space="preserve">Nhãn </t>
  </si>
  <si>
    <t>Lê</t>
  </si>
  <si>
    <t>Thanh long</t>
  </si>
  <si>
    <t>Chuối</t>
  </si>
  <si>
    <t>E11</t>
  </si>
  <si>
    <t>Tráng miệng</t>
  </si>
  <si>
    <t>Đồ uống</t>
  </si>
  <si>
    <t>F</t>
  </si>
  <si>
    <t>F1</t>
  </si>
  <si>
    <t>Rượi</t>
  </si>
  <si>
    <t>Rượi trắng</t>
  </si>
  <si>
    <t xml:space="preserve">Rượi vang </t>
  </si>
  <si>
    <t>Rượi vang Thăng long</t>
  </si>
  <si>
    <t>Rượi nếp cẩm</t>
  </si>
  <si>
    <t>Rượi quê</t>
  </si>
  <si>
    <t>F2</t>
  </si>
  <si>
    <t>Bia</t>
  </si>
  <si>
    <t>Bia hơi</t>
  </si>
  <si>
    <t>Bia chai Hà nội</t>
  </si>
  <si>
    <t>Bia chai 333</t>
  </si>
  <si>
    <t>F11</t>
  </si>
  <si>
    <t xml:space="preserve">Bia chai Sài gòn </t>
  </si>
  <si>
    <t>Bia chai Henniken</t>
  </si>
  <si>
    <t>Bia tươi</t>
  </si>
  <si>
    <t>Bia đen</t>
  </si>
  <si>
    <t>Bia lon Hà nội</t>
  </si>
  <si>
    <t>Bia lon 333</t>
  </si>
  <si>
    <t>Bia lon Sài gòn</t>
  </si>
  <si>
    <t>Bia lon Henniken</t>
  </si>
  <si>
    <t>Rượi Jonniwerker</t>
  </si>
  <si>
    <t>Rượi Napleon</t>
  </si>
  <si>
    <t>Rượi XO</t>
  </si>
  <si>
    <t>Rượi Conhac</t>
  </si>
  <si>
    <t>F21</t>
  </si>
  <si>
    <t>Cháo xương</t>
  </si>
  <si>
    <t>Cháo lòng</t>
  </si>
  <si>
    <t>Bún thang</t>
  </si>
  <si>
    <t>Bún tươi</t>
  </si>
  <si>
    <t>Cá đồng kho tiêu ớt</t>
  </si>
  <si>
    <t>Tuần</t>
  </si>
  <si>
    <t>Bột tiêu</t>
  </si>
  <si>
    <t>Phở Bò</t>
  </si>
  <si>
    <t>Miến ngan</t>
  </si>
  <si>
    <t>Xôi lạc</t>
  </si>
  <si>
    <t>Bánh nếp</t>
  </si>
  <si>
    <t>Bánh bột lọc</t>
  </si>
  <si>
    <t>Bánh khoai</t>
  </si>
  <si>
    <t>Bánh mỳ sữa</t>
  </si>
  <si>
    <t>Miến xào</t>
  </si>
  <si>
    <t>Cháo đậu</t>
  </si>
  <si>
    <t>Thịt lợn nấu giả cầy</t>
  </si>
  <si>
    <t>Lòng lợn luộc</t>
  </si>
  <si>
    <t>Lòng lợn xào dưa</t>
  </si>
  <si>
    <t>Giò mỡ</t>
  </si>
  <si>
    <t>Xườn xào chua ngọt</t>
  </si>
  <si>
    <t>Xúc xich</t>
  </si>
  <si>
    <t>Ruốc bông</t>
  </si>
  <si>
    <t>Thịt bò nấu xốt vang</t>
  </si>
  <si>
    <t>Lòng bò xào dưa</t>
  </si>
  <si>
    <t>Sách bò nấu khế</t>
  </si>
  <si>
    <t>Thịt bê xào lăn</t>
  </si>
  <si>
    <t>Thịt bê tái bóp chua</t>
  </si>
  <si>
    <t>Thịt gà chiên mắm</t>
  </si>
  <si>
    <t>Thịt gà quay</t>
  </si>
  <si>
    <t>Thịt gà hấp</t>
  </si>
  <si>
    <t>Thịt gà nộm hành tây</t>
  </si>
  <si>
    <t>Thịt gà bọc xôi</t>
  </si>
  <si>
    <t>Chả  chó nướng</t>
  </si>
  <si>
    <t>Thịt chó luộc</t>
  </si>
  <si>
    <t>Thịt chó nấu cầy</t>
  </si>
  <si>
    <t>Khoai</t>
  </si>
  <si>
    <t>Chả quế</t>
  </si>
  <si>
    <t>Tên TP</t>
  </si>
  <si>
    <t>Slượng</t>
  </si>
  <si>
    <t>Cơm tẻ, Cơm rang</t>
  </si>
  <si>
    <t>Thứ</t>
  </si>
  <si>
    <t>Ngày</t>
  </si>
  <si>
    <t>CN</t>
  </si>
  <si>
    <t>T49T41219</t>
  </si>
  <si>
    <t>T49T51219</t>
  </si>
  <si>
    <t>T49T61219</t>
  </si>
  <si>
    <t>T50T71219</t>
  </si>
  <si>
    <t>T50CN1219</t>
  </si>
  <si>
    <t>T50T21219</t>
  </si>
  <si>
    <t>T50T31219</t>
  </si>
  <si>
    <t>SaT49T41219</t>
  </si>
  <si>
    <t>TrT49T41219</t>
  </si>
  <si>
    <t>ChT49T41219</t>
  </si>
  <si>
    <t>SaT49T51219</t>
  </si>
  <si>
    <t>TrT49T51219</t>
  </si>
  <si>
    <t>ChT49T51219</t>
  </si>
  <si>
    <t>SaT49T61219</t>
  </si>
  <si>
    <t>TrT49T61219</t>
  </si>
  <si>
    <t>ChT49T61219</t>
  </si>
  <si>
    <t>SaT50T71219</t>
  </si>
  <si>
    <t>TrT50T71219</t>
  </si>
  <si>
    <t>ChT50T71219</t>
  </si>
  <si>
    <t>SaT50CN1219</t>
  </si>
  <si>
    <t>TrT50CN1219</t>
  </si>
  <si>
    <t>ChT50CN1219</t>
  </si>
  <si>
    <t>SaT50T21219</t>
  </si>
  <si>
    <t>TrT50T21219</t>
  </si>
  <si>
    <t>ChT50T21219</t>
  </si>
  <si>
    <t>SaT50T31219</t>
  </si>
  <si>
    <t>TrT50T31219</t>
  </si>
  <si>
    <t>ChT50T31219</t>
  </si>
  <si>
    <t>Mã TD</t>
  </si>
  <si>
    <t>Mã trưa</t>
  </si>
  <si>
    <t>Mã chiều</t>
  </si>
  <si>
    <t>Mã sáng</t>
  </si>
  <si>
    <t>Cơm tẻ, Thịt bê luộc</t>
  </si>
  <si>
    <t>Thịt gà xáo, Cơm nắm vừng</t>
  </si>
  <si>
    <t>Thịt lợn kho hộp, Cơm nắm vừng</t>
  </si>
  <si>
    <t>Thịt bò hầm, Cơm nắm vừng</t>
  </si>
  <si>
    <t>Ch4</t>
  </si>
  <si>
    <t>Bún đậu, Bún thang, Xôi đậu</t>
  </si>
  <si>
    <t>Cơm nắm vừng, Thịt lợn nạc kho tiêu</t>
  </si>
  <si>
    <t>Cơm nắm vừng, Thịt bò xào</t>
  </si>
  <si>
    <t>Thịt bò hầm, Giò bò</t>
  </si>
  <si>
    <t>Thịt lợn nạc kho tiêu, Thịt lợn nấu giả cầy</t>
  </si>
  <si>
    <t>Tôm rang cay, Mực luộc</t>
  </si>
  <si>
    <t>Lòng lợn luộc, Lòng lợn xào dưa</t>
  </si>
  <si>
    <t>Thịt lợn nạc luộc, Thịt lợn kho hộp</t>
  </si>
  <si>
    <t>Cháo thịt, Thịt chó nấu cầy</t>
  </si>
  <si>
    <t>Thịt bò xào, Thịt bò rim</t>
  </si>
  <si>
    <t>Sách bò nấu khế, Thịt bò xào</t>
  </si>
  <si>
    <t>Cơm rang, Cơm rang hành, Thịt bò hầm</t>
  </si>
  <si>
    <t>Cơm rang hành tỏi, Thịt bò nấu xốt vang, Thịt bò xào</t>
  </si>
  <si>
    <t>T50T41219</t>
  </si>
  <si>
    <t>SaT50T41219</t>
  </si>
  <si>
    <t>TrT50T41219</t>
  </si>
  <si>
    <t>ChT50T41219</t>
  </si>
  <si>
    <t>T50T51219</t>
  </si>
  <si>
    <t>SaT50T51219</t>
  </si>
  <si>
    <t>TrT50T51219</t>
  </si>
  <si>
    <t>ChT50T51219</t>
  </si>
  <si>
    <t>T50T61219</t>
  </si>
  <si>
    <t>SaT50T61219</t>
  </si>
  <si>
    <t>TrT50T61219</t>
  </si>
  <si>
    <t>ChT50T61219</t>
  </si>
  <si>
    <t>Sáng</t>
  </si>
  <si>
    <t>Trưa</t>
  </si>
  <si>
    <t>Chiều</t>
  </si>
  <si>
    <t>Sáng, Cơm tẻ, Thịt bê luộc, Sáng</t>
  </si>
  <si>
    <t>Trưa, Cơm rang, Cơm rang hành, Thịt bò hầm, Trưa</t>
  </si>
  <si>
    <t>Chiêu, Cơm rang hành tỏi, Thịt bò nấu xốt vang, Thịt bò xào, Chiêu</t>
  </si>
  <si>
    <t>Sáng, Bún đậu, Bún thang, Xôi đậu, Sáng</t>
  </si>
  <si>
    <t>Trưa, Cơm nắm vừng, Thịt lợn nạc kho tiêu, Trưa</t>
  </si>
  <si>
    <t>Chiêu, Cơm nắm vừng, Thịt bò xào, Chiêu</t>
  </si>
  <si>
    <t>06/01/2020</t>
  </si>
  <si>
    <t>07/01/2020</t>
  </si>
  <si>
    <t>08/01/2020</t>
  </si>
  <si>
    <t>09/01/2020</t>
  </si>
  <si>
    <t>10/01/2020</t>
  </si>
  <si>
    <t>T2CN0120</t>
  </si>
  <si>
    <t>SaT2CN0120</t>
  </si>
  <si>
    <t>TrT2CN0120</t>
  </si>
  <si>
    <t>ChT2CN0120</t>
  </si>
  <si>
    <t>T2T20120</t>
  </si>
  <si>
    <t>SaT2T20120</t>
  </si>
  <si>
    <t>TrT2T20120</t>
  </si>
  <si>
    <t>ChT2T20120</t>
  </si>
  <si>
    <t>T2T30120</t>
  </si>
  <si>
    <t>SaT2T30120</t>
  </si>
  <si>
    <t>TrT2T30120</t>
  </si>
  <si>
    <t>ChT2T30120</t>
  </si>
  <si>
    <t>T2T40120</t>
  </si>
  <si>
    <t>SaT2T40120</t>
  </si>
  <si>
    <t>TrT2T40120</t>
  </si>
  <si>
    <t>ChT2T40120</t>
  </si>
  <si>
    <t>T2T50120</t>
  </si>
  <si>
    <t>SaT2T50120</t>
  </si>
  <si>
    <t>TrT2T50120</t>
  </si>
  <si>
    <t>ChT2T50120</t>
  </si>
  <si>
    <t>11/01/2020</t>
  </si>
  <si>
    <t>12/01/2020</t>
  </si>
  <si>
    <t>T2T60120</t>
  </si>
  <si>
    <t>SaT2T60120</t>
  </si>
  <si>
    <t>TrT2T60120</t>
  </si>
  <si>
    <t>ChT2T60120</t>
  </si>
  <si>
    <t>T3T70120</t>
  </si>
  <si>
    <t>SaT3T70120</t>
  </si>
  <si>
    <t>TrT3T70120</t>
  </si>
  <si>
    <t>ChT3T70120</t>
  </si>
  <si>
    <t>Thịt lợn nạc luộc, Thịt lợn kho hộp, Sáng, Cơm tẻ, Thịt bê luộc, Sáng</t>
  </si>
  <si>
    <t>Cháo thịt, Thịt chó nấu cầy, Trưa, Cơm rang, Cơm rang hành, Thịt bò hầm, Trưa</t>
  </si>
  <si>
    <t>Canh cá, Chiêu, Cơm rang hành tỏi, Thịt bò nấu xốt vang, Thịt bò xào, Chiêu</t>
  </si>
  <si>
    <t>15/01/2020</t>
  </si>
  <si>
    <t>16/01/2020</t>
  </si>
  <si>
    <t>17/01/2020</t>
  </si>
  <si>
    <t>18/01/2020</t>
  </si>
  <si>
    <t>19/01/2020</t>
  </si>
  <si>
    <t>20/01/2020</t>
  </si>
  <si>
    <t>21/01/2020</t>
  </si>
  <si>
    <t>T3T30120</t>
  </si>
  <si>
    <t>SaT3T30120</t>
  </si>
  <si>
    <t>TrT3T30120</t>
  </si>
  <si>
    <t>ChT3T30120</t>
  </si>
  <si>
    <t>T3T40120</t>
  </si>
  <si>
    <t>SaT3T40120</t>
  </si>
  <si>
    <t>TrT3T40120</t>
  </si>
  <si>
    <t>ChT3T40120</t>
  </si>
  <si>
    <t>T3T50120</t>
  </si>
  <si>
    <t>SaT3T50120</t>
  </si>
  <si>
    <t>TrT3T50120</t>
  </si>
  <si>
    <t>ChT3T50120</t>
  </si>
  <si>
    <t>T3T60120</t>
  </si>
  <si>
    <t>SaT3T60120</t>
  </si>
  <si>
    <t>TrT3T60120</t>
  </si>
  <si>
    <t>ChT3T60120</t>
  </si>
  <si>
    <t>T4T70120</t>
  </si>
  <si>
    <t>SaT4T70120</t>
  </si>
  <si>
    <t>TrT4T70120</t>
  </si>
  <si>
    <t>ChT4T70120</t>
  </si>
  <si>
    <t>T4CN0120</t>
  </si>
  <si>
    <t>SaT4CN0120</t>
  </si>
  <si>
    <t>TrT4CN0120</t>
  </si>
  <si>
    <t>ChT4CN0120</t>
  </si>
  <si>
    <t>T4T20120</t>
  </si>
  <si>
    <t>SaT4T20120</t>
  </si>
  <si>
    <t>TrT4T20120</t>
  </si>
  <si>
    <t>ChT4T20120</t>
  </si>
  <si>
    <t>Sáng, Thịt bò hầm, Giò bò, Sáng</t>
  </si>
  <si>
    <t>Trưa, Thịt lợn nạc kho tiêu, Thịt lợn nấu giả cầy, Trưa</t>
  </si>
  <si>
    <t>Chiêu, Tôm rang cay, Mực luộc, Chiêu</t>
  </si>
  <si>
    <t>HUONG LIEN</t>
  </si>
  <si>
    <t>H0986997214</t>
  </si>
  <si>
    <t>Chiêu</t>
  </si>
  <si>
    <t>T2-T6.0120</t>
  </si>
  <si>
    <t>SaT2-T6.0120</t>
  </si>
  <si>
    <t>TrT2-T6.0120</t>
  </si>
  <si>
    <t>ChT2-T6.0120</t>
  </si>
  <si>
    <t>T2-T7.0120</t>
  </si>
  <si>
    <t>SaT2-T7.0120</t>
  </si>
  <si>
    <t>TrT2-T7.0120</t>
  </si>
  <si>
    <t>ChT2-T7.0120</t>
  </si>
  <si>
    <t>T3-CN.0120</t>
  </si>
  <si>
    <t>SaT3-CN.0120</t>
  </si>
  <si>
    <t>TrT3-CN.0120</t>
  </si>
  <si>
    <t>ChT3-CN.0120</t>
  </si>
  <si>
    <t>T3-T2.0120</t>
  </si>
  <si>
    <t>SaT3-T2.0120</t>
  </si>
  <si>
    <t>TrT3-T2.0120</t>
  </si>
  <si>
    <t>ChT3-T2.0120</t>
  </si>
  <si>
    <t>T3-T3.0120</t>
  </si>
  <si>
    <t>SaT3-T3.0120</t>
  </si>
  <si>
    <t>TrT3-T3.0120</t>
  </si>
  <si>
    <t>ChT3-T3.0120</t>
  </si>
  <si>
    <t>T3-T4.0120</t>
  </si>
  <si>
    <t>SaT3-T4.0120</t>
  </si>
  <si>
    <t>TrT3-T4.0120</t>
  </si>
  <si>
    <t>ChT3-T4.0120</t>
  </si>
  <si>
    <t>T3-T5.0120</t>
  </si>
  <si>
    <t>SaT3-T5.0120</t>
  </si>
  <si>
    <t>TrT3-T5.0120</t>
  </si>
  <si>
    <t>ChT3-T5.0120</t>
  </si>
  <si>
    <t>T4-CN.0120</t>
  </si>
  <si>
    <t>SaT4-CN.0120</t>
  </si>
  <si>
    <t>TrT4-CN.0120</t>
  </si>
  <si>
    <t>ChT4-CN.0120</t>
  </si>
  <si>
    <t>Sáng, Thịt bò xào, Thịt bò rim, Sáng</t>
  </si>
  <si>
    <t>Chiêu, Chiêu, Cơm nắm vừng, Thịt bò xào, Chiêu, Chiêu</t>
  </si>
  <si>
    <t>T4-T2.0120</t>
  </si>
  <si>
    <t>SaT4-T2.0120</t>
  </si>
  <si>
    <t>TrT4-T2.0120</t>
  </si>
  <si>
    <t>ChT4-T2.0120</t>
  </si>
  <si>
    <t>T4-T3.0120</t>
  </si>
  <si>
    <t>SaT4-T3.0120</t>
  </si>
  <si>
    <t>TrT4-T3.0120</t>
  </si>
  <si>
    <t>ChT4-T3.0120</t>
  </si>
  <si>
    <t>T4-T4.0120</t>
  </si>
  <si>
    <t>SaT4-T4.0120</t>
  </si>
  <si>
    <t>TrT4-T4.0120</t>
  </si>
  <si>
    <t>ChT4-T4.0120</t>
  </si>
  <si>
    <t>T4-T5.0120</t>
  </si>
  <si>
    <t>SaT4-T5.0120</t>
  </si>
  <si>
    <t>TrT4-T5.0120</t>
  </si>
  <si>
    <t>ChT4-T5.0120</t>
  </si>
  <si>
    <t>T4-T6.0120</t>
  </si>
  <si>
    <t>SaT4-T6.0120</t>
  </si>
  <si>
    <t>TrT4-T6.0120</t>
  </si>
  <si>
    <t>ChT4-T6.0120</t>
  </si>
  <si>
    <t>T4-T7.0120</t>
  </si>
  <si>
    <t>SaT4-T7.0120</t>
  </si>
  <si>
    <t>TrT4-T7.0120</t>
  </si>
  <si>
    <t>ChT4-T7.0120</t>
  </si>
  <si>
    <t>25/01/2020</t>
  </si>
  <si>
    <t>Sáng, Thịt lợn nạc luộc, Thịt lợn kho hộp, Sáng</t>
  </si>
  <si>
    <t>Chiêu, Canh cá, Chiêu</t>
  </si>
  <si>
    <t>T5-CN.0120</t>
  </si>
  <si>
    <t>SaT5-CN.0120</t>
  </si>
  <si>
    <t>TrT5-CN.0120</t>
  </si>
  <si>
    <t>ChT5-CN.0120</t>
  </si>
  <si>
    <t>T5-T2.0120</t>
  </si>
  <si>
    <t>SaT5-T2.0120</t>
  </si>
  <si>
    <t>TrT5-T2.0120</t>
  </si>
  <si>
    <t>ChT5-T2.0120</t>
  </si>
  <si>
    <t>T5-T3.0120</t>
  </si>
  <si>
    <t>SaT5-T3.0120</t>
  </si>
  <si>
    <t>TrT5-T3.0120</t>
  </si>
  <si>
    <t>ChT5-T3.0120</t>
  </si>
  <si>
    <t>T5-T4.0120</t>
  </si>
  <si>
    <t>SaT5-T4.0120</t>
  </si>
  <si>
    <t>TrT5-T4.0120</t>
  </si>
  <si>
    <t>ChT5-T4.0120</t>
  </si>
  <si>
    <t>T5-T5.0120</t>
  </si>
  <si>
    <t>SaT5-T5.0120</t>
  </si>
  <si>
    <t>TrT5-T5.0120</t>
  </si>
  <si>
    <t>ChT5-T5.0120</t>
  </si>
  <si>
    <t>27/01/2020</t>
  </si>
  <si>
    <t>Sáng, Sáng, Bún đậu, Bún thang, Xôi đậu, Sáng, Sáng</t>
  </si>
  <si>
    <t>Trưa, Trưa, Cơm nắm vừng, Thịt lợn nạc kho tiêu, Trưa, Trưa</t>
  </si>
  <si>
    <t>T5-T6.0220</t>
  </si>
  <si>
    <t>SaT5-T6.0220</t>
  </si>
  <si>
    <t>TrT5-T6.0220</t>
  </si>
  <si>
    <t>ChT5-T6.0220</t>
  </si>
  <si>
    <t>T5-T7.0220</t>
  </si>
  <si>
    <t>SaT5-T7.0220</t>
  </si>
  <si>
    <t>TrT5-T7.0220</t>
  </si>
  <si>
    <t>ChT5-T7.0220</t>
  </si>
  <si>
    <t>28/9/2020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</si>
</sst>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164" formatCode="_(* #,##0_);_(* \(#,##0\);_(* &quot;-&quot;_);_(@_)"/>
    <numFmt numFmtId="165" formatCode="_(* #,##0.00_);_(* \(#,##0.00\);_(* &quot;-&quot;??_);_(@_)"/>
    <numFmt numFmtId="166" formatCode="0.0"/>
    <numFmt numFmtId="167" formatCode="##0"/>
    <numFmt numFmtId="168" formatCode="&quot;\&quot;#,##0;[Red]&quot;\&quot;&quot;\&quot;\-#,##0"/>
    <numFmt numFmtId="169" formatCode="&quot;ß&quot;\t#,##0_);\(&quot;ß&quot;\t#,##0\)"/>
    <numFmt numFmtId="170" formatCode="_(\ß* \t#,##0_);_(\ß* \(\t#,##0\);_(\ß* &quot;-&quot;_);_(@_)"/>
    <numFmt numFmtId="171" formatCode="&quot;ß&quot;\t#,##0_);[Red]\(&quot;ß&quot;\t#,##0\)"/>
    <numFmt numFmtId="172" formatCode="_(* #,##0.000_);_(* \(#,##0.000\);_(* &quot;-&quot;??_);_(@_)"/>
    <numFmt numFmtId="173" formatCode="\$#,##0\ ;\(\$#,##0\)"/>
    <numFmt numFmtId="174" formatCode="_-[$€-2]* #,##0.00_-;\-[$€-2]* #,##0.00_-;_-[$€-2]* &quot;-&quot;??_-"/>
    <numFmt numFmtId="175" formatCode="&quot;\&quot;#,##0;[Red]\-&quot;\&quot;#,##0"/>
    <numFmt numFmtId="176" formatCode="&quot;\&quot;#,##0.00;\-&quot;\&quot;#,##0.00"/>
    <numFmt numFmtId="177" formatCode="&quot;\&quot;#,##0.00;[Red]&quot;\&quot;&quot;\&quot;&quot;\&quot;&quot;\&quot;&quot;\&quot;&quot;\&quot;\-#,##0.00"/>
    <numFmt numFmtId="178" formatCode="&quot;\&quot;#,##0.00;[Red]&quot;\&quot;\-#,##0.00"/>
    <numFmt numFmtId="179" formatCode="&quot;\&quot;#,##0;[Red]&quot;\&quot;\-#,##0"/>
    <numFmt numFmtId="180" formatCode="_-&quot;$&quot;* #,##0_-;\-&quot;$&quot;* #,##0_-;_-&quot;$&quot;* &quot;-&quot;_-;_-@_-"/>
    <numFmt numFmtId="181" formatCode="&quot;$&quot;#,##0;[Red]\-&quot;$&quot;#,##0"/>
    <numFmt numFmtId="182" formatCode="_-&quot;$&quot;* #,##0.00_-;\-&quot;$&quot;* #,##0.00_-;_-&quot;$&quot;* &quot;-&quot;??_-;_-@_-"/>
    <numFmt numFmtId="183" formatCode="#,##0.0"/>
    <numFmt numFmtId="184" formatCode="0#"/>
  </numFmts>
  <fonts count="62"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8"/>
      <color theme="3"/>
      <name val="Times New Roman"/>
      <family val="2"/>
      <charset val="163"/>
      <scheme val="major"/>
    </font>
    <font>
      <b/>
      <sz val="15"/>
      <color theme="3"/>
      <name val="Arial"/>
      <family val="2"/>
      <charset val="163"/>
      <scheme val="minor"/>
    </font>
    <font>
      <b/>
      <sz val="13"/>
      <color theme="3"/>
      <name val="Arial"/>
      <family val="2"/>
      <charset val="163"/>
      <scheme val="minor"/>
    </font>
    <font>
      <b/>
      <sz val="11"/>
      <color theme="3"/>
      <name val="Arial"/>
      <family val="2"/>
      <charset val="163"/>
      <scheme val="minor"/>
    </font>
    <font>
      <sz val="11"/>
      <color rgb="FF006100"/>
      <name val="Arial"/>
      <family val="2"/>
      <charset val="163"/>
      <scheme val="minor"/>
    </font>
    <font>
      <sz val="11"/>
      <color rgb="FF9C0006"/>
      <name val="Arial"/>
      <family val="2"/>
      <charset val="163"/>
      <scheme val="minor"/>
    </font>
    <font>
      <sz val="11"/>
      <color rgb="FF9C6500"/>
      <name val="Arial"/>
      <family val="2"/>
      <charset val="163"/>
      <scheme val="minor"/>
    </font>
    <font>
      <sz val="11"/>
      <color rgb="FF3F3F76"/>
      <name val="Arial"/>
      <family val="2"/>
      <charset val="163"/>
      <scheme val="minor"/>
    </font>
    <font>
      <b/>
      <sz val="11"/>
      <color rgb="FF3F3F3F"/>
      <name val="Arial"/>
      <family val="2"/>
      <charset val="163"/>
      <scheme val="minor"/>
    </font>
    <font>
      <b/>
      <sz val="11"/>
      <color rgb="FFFA7D00"/>
      <name val="Arial"/>
      <family val="2"/>
      <charset val="163"/>
      <scheme val="minor"/>
    </font>
    <font>
      <sz val="11"/>
      <color rgb="FFFA7D00"/>
      <name val="Arial"/>
      <family val="2"/>
      <charset val="163"/>
      <scheme val="minor"/>
    </font>
    <font>
      <b/>
      <sz val="11"/>
      <color theme="0"/>
      <name val="Arial"/>
      <family val="2"/>
      <charset val="163"/>
      <scheme val="minor"/>
    </font>
    <font>
      <sz val="11"/>
      <color rgb="FFFF0000"/>
      <name val="Arial"/>
      <family val="2"/>
      <charset val="163"/>
      <scheme val="minor"/>
    </font>
    <font>
      <i/>
      <sz val="11"/>
      <color rgb="FF7F7F7F"/>
      <name val="Arial"/>
      <family val="2"/>
      <charset val="163"/>
      <scheme val="minor"/>
    </font>
    <font>
      <b/>
      <sz val="11"/>
      <color theme="1"/>
      <name val="Arial"/>
      <family val="2"/>
      <charset val="163"/>
      <scheme val="minor"/>
    </font>
    <font>
      <sz val="11"/>
      <color theme="0"/>
      <name val="Arial"/>
      <family val="2"/>
      <charset val="163"/>
      <scheme val="minor"/>
    </font>
    <font>
      <sz val="10"/>
      <name val="Arial"/>
      <family val="2"/>
      <charset val="163"/>
    </font>
    <font>
      <sz val="12"/>
      <name val="Arial"/>
      <family val="2"/>
      <charset val="163"/>
    </font>
    <font>
      <sz val="12"/>
      <name val=".VnArial"/>
      <family val="2"/>
    </font>
    <font>
      <sz val="10"/>
      <name val="Arial"/>
      <family val="2"/>
      <charset val="163"/>
    </font>
    <font>
      <sz val="12"/>
      <color indexed="8"/>
      <name val=".VnBodoniH"/>
      <family val="2"/>
    </font>
    <font>
      <sz val="11.5"/>
      <color indexed="12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  <charset val="163"/>
    </font>
    <font>
      <b/>
      <sz val="10"/>
      <color indexed="8"/>
      <name val=".VnArial"/>
      <family val="2"/>
    </font>
    <font>
      <b/>
      <sz val="10"/>
      <color indexed="8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10"/>
      <color indexed="8"/>
      <name val="Arial"/>
      <family val="2"/>
      <charset val="163"/>
    </font>
    <font>
      <b/>
      <sz val="10"/>
      <color indexed="8"/>
      <name val="FOGCOOVnTime"/>
    </font>
    <font>
      <sz val="12"/>
      <color indexed="8"/>
      <name val="FOGCOOVnTime"/>
    </font>
    <font>
      <sz val="12"/>
      <color indexed="8"/>
      <name val="Times New Roman"/>
      <family val="1"/>
      <charset val="163"/>
    </font>
    <font>
      <sz val="8"/>
      <name val="Times New Roman"/>
      <family val="1"/>
      <charset val="163"/>
    </font>
    <font>
      <sz val="8"/>
      <color indexed="8"/>
      <name val="Times New Roman"/>
      <family val="1"/>
      <charset val="163"/>
    </font>
    <font>
      <sz val="12"/>
      <name val="Times New Roman"/>
      <family val="1"/>
    </font>
    <font>
      <sz val="12"/>
      <name val="Times New Roman"/>
      <family val="1"/>
      <charset val="163"/>
    </font>
    <font>
      <sz val="12"/>
      <name val="????"/>
    </font>
    <font>
      <sz val="14"/>
      <name val="??"/>
    </font>
    <font>
      <sz val="10"/>
      <name val="Arial"/>
      <family val="2"/>
    </font>
    <font>
      <sz val="12"/>
      <name val="???"/>
    </font>
    <font>
      <sz val="10"/>
      <name val="???"/>
    </font>
    <font>
      <sz val="12"/>
      <name val="¹ÙÅÁÃ¼"/>
      <family val="1"/>
    </font>
    <font>
      <sz val="12"/>
      <name val="¹UAAA¼"/>
      <family val="3"/>
      <charset val="129"/>
    </font>
    <font>
      <sz val="12"/>
      <name val="±¼¸²Ã¼"/>
      <family val="3"/>
    </font>
    <font>
      <sz val="11"/>
      <name val="µ¸¿ò"/>
      <family val="1"/>
    </font>
    <font>
      <sz val="12"/>
      <name val=".VnTime"/>
      <family val="2"/>
    </font>
    <font>
      <sz val="8"/>
      <name val="Arial"/>
      <family val="2"/>
    </font>
    <font>
      <b/>
      <sz val="12"/>
      <name val="Arial"/>
      <family val="2"/>
      <charset val="163"/>
    </font>
    <font>
      <sz val="12"/>
      <name val="Arial"/>
      <family val="2"/>
    </font>
    <font>
      <sz val="10"/>
      <name val="MS Sans Serif"/>
      <family val="2"/>
    </font>
    <font>
      <sz val="10"/>
      <name val=" "/>
      <family val="1"/>
      <charset val="136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b/>
      <sz val="9"/>
      <name val="Arial"/>
      <family val="2"/>
    </font>
    <font>
      <sz val="12"/>
      <name val="新細明體"/>
      <charset val="136"/>
    </font>
    <font>
      <sz val="12"/>
      <name val="Courier"/>
      <family val="3"/>
    </font>
    <font>
      <sz val="11"/>
      <name val="Arial"/>
      <family val="2"/>
      <charset val="163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1" fillId="0" borderId="0"/>
    <xf numFmtId="0" fontId="18" fillId="0" borderId="0"/>
    <xf numFmtId="0" fontId="38" fillId="0" borderId="0"/>
    <xf numFmtId="0" fontId="39" fillId="0" borderId="0" applyFont="0" applyFill="0" applyBorder="0" applyAlignment="0" applyProtection="0"/>
    <xf numFmtId="168" fontId="40" fillId="0" borderId="0" applyFont="0" applyFill="0" applyBorder="0" applyAlignment="0" applyProtection="0"/>
    <xf numFmtId="40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164" fontId="38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42" fillId="0" borderId="0"/>
    <xf numFmtId="9" fontId="43" fillId="0" borderId="0" applyFont="0" applyFill="0" applyBorder="0" applyAlignment="0" applyProtection="0"/>
    <xf numFmtId="169" fontId="40" fillId="0" borderId="0" applyFont="0" applyFill="0" applyBorder="0" applyAlignment="0" applyProtection="0"/>
    <xf numFmtId="0" fontId="44" fillId="0" borderId="0" applyFont="0" applyFill="0" applyBorder="0" applyAlignment="0" applyProtection="0"/>
    <xf numFmtId="169" fontId="40" fillId="0" borderId="0" applyFont="0" applyFill="0" applyBorder="0" applyAlignment="0" applyProtection="0"/>
    <xf numFmtId="170" fontId="40" fillId="0" borderId="0" applyFont="0" applyFill="0" applyBorder="0" applyAlignment="0" applyProtection="0"/>
    <xf numFmtId="0" fontId="44" fillId="0" borderId="0" applyFont="0" applyFill="0" applyBorder="0" applyAlignment="0" applyProtection="0"/>
    <xf numFmtId="170" fontId="40" fillId="0" borderId="0" applyFont="0" applyFill="0" applyBorder="0" applyAlignment="0" applyProtection="0"/>
    <xf numFmtId="171" fontId="40" fillId="0" borderId="0" applyFont="0" applyFill="0" applyBorder="0" applyAlignment="0" applyProtection="0"/>
    <xf numFmtId="0" fontId="44" fillId="0" borderId="0" applyFont="0" applyFill="0" applyBorder="0" applyAlignment="0" applyProtection="0"/>
    <xf numFmtId="171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0" fontId="44" fillId="0" borderId="0" applyFont="0" applyFill="0" applyBorder="0" applyAlignment="0" applyProtection="0"/>
    <xf numFmtId="172" fontId="40" fillId="0" borderId="0" applyFont="0" applyFill="0" applyBorder="0" applyAlignment="0" applyProtection="0"/>
    <xf numFmtId="0" fontId="44" fillId="0" borderId="0"/>
    <xf numFmtId="0" fontId="45" fillId="0" borderId="0"/>
    <xf numFmtId="0" fontId="44" fillId="0" borderId="0"/>
    <xf numFmtId="0" fontId="46" fillId="0" borderId="0"/>
    <xf numFmtId="3" fontId="40" fillId="0" borderId="0" applyFont="0" applyFill="0" applyBorder="0" applyAlignment="0" applyProtection="0"/>
    <xf numFmtId="173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174" fontId="47" fillId="0" borderId="0" applyFont="0" applyFill="0" applyBorder="0" applyAlignment="0" applyProtection="0"/>
    <xf numFmtId="2" fontId="40" fillId="0" borderId="0" applyFont="0" applyFill="0" applyBorder="0" applyAlignment="0" applyProtection="0"/>
    <xf numFmtId="38" fontId="48" fillId="37" borderId="0" applyNumberFormat="0" applyBorder="0" applyAlignment="0" applyProtection="0"/>
    <xf numFmtId="0" fontId="49" fillId="0" borderId="30" applyNumberFormat="0" applyAlignment="0" applyProtection="0">
      <alignment horizontal="left"/>
    </xf>
    <xf numFmtId="0" fontId="49" fillId="0" borderId="16">
      <alignment horizontal="left"/>
    </xf>
    <xf numFmtId="10" fontId="48" fillId="38" borderId="22" applyNumberFormat="0" applyBorder="0" applyAlignment="0" applyProtection="0"/>
    <xf numFmtId="164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175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0" fontId="50" fillId="0" borderId="0" applyNumberFormat="0" applyFont="0" applyFill="0" applyAlignment="0"/>
    <xf numFmtId="0" fontId="47" fillId="0" borderId="0"/>
    <xf numFmtId="0" fontId="47" fillId="0" borderId="0"/>
    <xf numFmtId="0" fontId="18" fillId="0" borderId="0"/>
    <xf numFmtId="10" fontId="18" fillId="0" borderId="0" applyFont="0" applyFill="0" applyBorder="0" applyAlignment="0" applyProtection="0"/>
    <xf numFmtId="9" fontId="51" fillId="0" borderId="31" applyNumberFormat="0" applyBorder="0"/>
    <xf numFmtId="0" fontId="52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36" fillId="0" borderId="0">
      <alignment vertical="center"/>
    </xf>
    <xf numFmtId="40" fontId="53" fillId="0" borderId="0" applyFont="0" applyFill="0" applyBorder="0" applyAlignment="0" applyProtection="0"/>
    <xf numFmtId="38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9" fontId="54" fillId="0" borderId="0" applyFont="0" applyFill="0" applyBorder="0" applyAlignment="0" applyProtection="0"/>
    <xf numFmtId="0" fontId="55" fillId="0" borderId="0"/>
    <xf numFmtId="168" fontId="40" fillId="0" borderId="0" applyFont="0" applyFill="0" applyBorder="0" applyAlignment="0" applyProtection="0"/>
    <xf numFmtId="177" fontId="40" fillId="0" borderId="0" applyFont="0" applyFill="0" applyBorder="0" applyAlignment="0" applyProtection="0"/>
    <xf numFmtId="178" fontId="56" fillId="0" borderId="0" applyFont="0" applyFill="0" applyBorder="0" applyAlignment="0" applyProtection="0"/>
    <xf numFmtId="179" fontId="56" fillId="0" borderId="0" applyFont="0" applyFill="0" applyBorder="0" applyAlignment="0" applyProtection="0"/>
    <xf numFmtId="0" fontId="57" fillId="0" borderId="0"/>
    <xf numFmtId="0" fontId="58" fillId="0" borderId="0" applyProtection="0"/>
    <xf numFmtId="164" fontId="59" fillId="0" borderId="0" applyFont="0" applyFill="0" applyBorder="0" applyAlignment="0" applyProtection="0"/>
    <xf numFmtId="40" fontId="60" fillId="0" borderId="0" applyFont="0" applyFill="0" applyBorder="0" applyAlignment="0" applyProtection="0"/>
    <xf numFmtId="180" fontId="59" fillId="0" borderId="0" applyFont="0" applyFill="0" applyBorder="0" applyAlignment="0" applyProtection="0"/>
    <xf numFmtId="181" fontId="60" fillId="0" borderId="0" applyFont="0" applyFill="0" applyBorder="0" applyAlignment="0" applyProtection="0"/>
    <xf numFmtId="182" fontId="59" fillId="0" borderId="0" applyFont="0" applyFill="0" applyBorder="0" applyAlignment="0" applyProtection="0"/>
  </cellStyleXfs>
  <cellXfs count="115">
    <xf numFmtId="0" fontId="0" fillId="0" borderId="0" xfId="0"/>
    <xf numFmtId="0" fontId="19" fillId="0" borderId="0" xfId="42" applyFont="1" applyFill="1" applyAlignment="1">
      <alignment horizontal="center"/>
    </xf>
    <xf numFmtId="0" fontId="20" fillId="0" borderId="0" xfId="42" applyFont="1" applyFill="1"/>
    <xf numFmtId="166" fontId="19" fillId="0" borderId="0" xfId="42" applyNumberFormat="1" applyFont="1" applyFill="1" applyAlignment="1">
      <alignment horizontal="right" shrinkToFit="1"/>
    </xf>
    <xf numFmtId="0" fontId="19" fillId="0" borderId="0" xfId="43" applyFont="1"/>
    <xf numFmtId="0" fontId="22" fillId="0" borderId="0" xfId="42" applyNumberFormat="1" applyFont="1" applyFill="1" applyAlignment="1">
      <alignment horizontal="left"/>
    </xf>
    <xf numFmtId="0" fontId="23" fillId="33" borderId="10" xfId="44" applyNumberFormat="1" applyFont="1" applyFill="1" applyBorder="1" applyAlignment="1">
      <alignment vertical="justify" wrapText="1"/>
    </xf>
    <xf numFmtId="0" fontId="24" fillId="0" borderId="0" xfId="42" applyNumberFormat="1" applyFont="1" applyFill="1" applyAlignment="1"/>
    <xf numFmtId="166" fontId="19" fillId="0" borderId="0" xfId="42" applyNumberFormat="1" applyFont="1" applyFill="1" applyAlignment="1">
      <alignment horizontal="left"/>
    </xf>
    <xf numFmtId="0" fontId="19" fillId="0" borderId="0" xfId="42" applyFont="1" applyFill="1"/>
    <xf numFmtId="166" fontId="19" fillId="0" borderId="0" xfId="42" applyNumberFormat="1" applyFont="1" applyFill="1" applyAlignment="1">
      <alignment horizontal="right" wrapText="1"/>
    </xf>
    <xf numFmtId="22" fontId="19" fillId="0" borderId="0" xfId="43" applyNumberFormat="1" applyFont="1"/>
    <xf numFmtId="0" fontId="18" fillId="0" borderId="0" xfId="43" applyFont="1"/>
    <xf numFmtId="166" fontId="30" fillId="34" borderId="19" xfId="42" applyNumberFormat="1" applyFont="1" applyFill="1" applyBorder="1" applyAlignment="1">
      <alignment horizontal="center" vertical="center" wrapText="1"/>
    </xf>
    <xf numFmtId="166" fontId="25" fillId="34" borderId="19" xfId="42" applyNumberFormat="1" applyFont="1" applyFill="1" applyBorder="1" applyAlignment="1">
      <alignment horizontal="center" vertical="center" wrapText="1"/>
    </xf>
    <xf numFmtId="166" fontId="31" fillId="34" borderId="19" xfId="42" applyNumberFormat="1" applyFont="1" applyFill="1" applyBorder="1" applyAlignment="1">
      <alignment horizontal="center" vertical="center" wrapText="1"/>
    </xf>
    <xf numFmtId="166" fontId="25" fillId="34" borderId="20" xfId="42" applyNumberFormat="1" applyFont="1" applyFill="1" applyBorder="1" applyAlignment="1">
      <alignment horizontal="center" vertical="center" wrapText="1"/>
    </xf>
    <xf numFmtId="0" fontId="28" fillId="35" borderId="22" xfId="43" applyNumberFormat="1" applyFont="1" applyFill="1" applyBorder="1" applyAlignment="1">
      <alignment vertical="center" textRotation="180" wrapText="1"/>
    </xf>
    <xf numFmtId="0" fontId="28" fillId="0" borderId="22" xfId="43" applyNumberFormat="1" applyFont="1" applyFill="1" applyBorder="1" applyAlignment="1">
      <alignment vertical="center" textRotation="180" wrapText="1"/>
    </xf>
    <xf numFmtId="167" fontId="32" fillId="0" borderId="23" xfId="42" applyNumberFormat="1" applyFont="1" applyFill="1" applyBorder="1" applyAlignment="1">
      <alignment horizontal="center"/>
    </xf>
    <xf numFmtId="0" fontId="33" fillId="0" borderId="10" xfId="42" applyFont="1" applyFill="1" applyBorder="1" applyAlignment="1">
      <alignment horizontal="left" shrinkToFit="1"/>
    </xf>
    <xf numFmtId="0" fontId="33" fillId="35" borderId="10" xfId="42" applyFont="1" applyFill="1" applyBorder="1" applyAlignment="1">
      <alignment horizontal="left" shrinkToFit="1"/>
    </xf>
    <xf numFmtId="166" fontId="32" fillId="0" borderId="24" xfId="42" applyNumberFormat="1" applyFont="1" applyFill="1" applyBorder="1" applyAlignment="1">
      <alignment horizontal="right" shrinkToFit="1"/>
    </xf>
    <xf numFmtId="166" fontId="19" fillId="0" borderId="24" xfId="42" applyNumberFormat="1" applyFont="1" applyFill="1" applyBorder="1" applyAlignment="1">
      <alignment horizontal="right" shrinkToFit="1"/>
    </xf>
    <xf numFmtId="166" fontId="32" fillId="0" borderId="25" xfId="42" applyNumberFormat="1" applyFont="1" applyFill="1" applyBorder="1" applyAlignment="1">
      <alignment horizontal="right" shrinkToFit="1"/>
    </xf>
    <xf numFmtId="166" fontId="34" fillId="36" borderId="22" xfId="42" applyNumberFormat="1" applyFont="1" applyFill="1" applyBorder="1" applyAlignment="1">
      <alignment horizontal="center" vertical="center" wrapText="1"/>
    </xf>
    <xf numFmtId="166" fontId="35" fillId="36" borderId="22" xfId="42" applyNumberFormat="1" applyFont="1" applyFill="1" applyBorder="1" applyAlignment="1">
      <alignment horizontal="center" vertical="center" wrapText="1"/>
    </xf>
    <xf numFmtId="0" fontId="34" fillId="36" borderId="22" xfId="43" applyFont="1" applyFill="1" applyBorder="1" applyAlignment="1">
      <alignment horizontal="center" vertical="center"/>
    </xf>
    <xf numFmtId="167" fontId="32" fillId="0" borderId="26" xfId="42" applyNumberFormat="1" applyFont="1" applyFill="1" applyBorder="1" applyAlignment="1">
      <alignment horizontal="center"/>
    </xf>
    <xf numFmtId="166" fontId="32" fillId="0" borderId="10" xfId="42" applyNumberFormat="1" applyFont="1" applyFill="1" applyBorder="1" applyAlignment="1">
      <alignment horizontal="right" shrinkToFit="1"/>
    </xf>
    <xf numFmtId="166" fontId="19" fillId="0" borderId="10" xfId="42" applyNumberFormat="1" applyFont="1" applyFill="1" applyBorder="1" applyAlignment="1">
      <alignment horizontal="right" shrinkToFit="1"/>
    </xf>
    <xf numFmtId="166" fontId="32" fillId="0" borderId="27" xfId="42" applyNumberFormat="1" applyFont="1" applyFill="1" applyBorder="1" applyAlignment="1">
      <alignment horizontal="right" shrinkToFit="1"/>
    </xf>
    <xf numFmtId="0" fontId="36" fillId="35" borderId="10" xfId="44" applyNumberFormat="1" applyFont="1" applyFill="1" applyBorder="1" applyAlignment="1">
      <alignment vertical="top" wrapText="1"/>
    </xf>
    <xf numFmtId="166" fontId="19" fillId="0" borderId="27" xfId="42" applyNumberFormat="1" applyFont="1" applyFill="1" applyBorder="1" applyAlignment="1">
      <alignment horizontal="right" shrinkToFit="1"/>
    </xf>
    <xf numFmtId="0" fontId="28" fillId="35" borderId="14" xfId="43" applyNumberFormat="1" applyFont="1" applyFill="1" applyBorder="1" applyAlignment="1">
      <alignment vertical="center" wrapText="1"/>
    </xf>
    <xf numFmtId="0" fontId="18" fillId="0" borderId="21" xfId="43" applyFont="1" applyBorder="1" applyAlignment="1"/>
    <xf numFmtId="167" fontId="32" fillId="35" borderId="26" xfId="42" applyNumberFormat="1" applyFont="1" applyFill="1" applyBorder="1" applyAlignment="1">
      <alignment horizontal="center"/>
    </xf>
    <xf numFmtId="166" fontId="32" fillId="35" borderId="10" xfId="42" applyNumberFormat="1" applyFont="1" applyFill="1" applyBorder="1" applyAlignment="1">
      <alignment horizontal="right" shrinkToFit="1"/>
    </xf>
    <xf numFmtId="166" fontId="19" fillId="35" borderId="10" xfId="42" applyNumberFormat="1" applyFont="1" applyFill="1" applyBorder="1" applyAlignment="1">
      <alignment horizontal="right" shrinkToFit="1"/>
    </xf>
    <xf numFmtId="166" fontId="32" fillId="35" borderId="27" xfId="42" applyNumberFormat="1" applyFont="1" applyFill="1" applyBorder="1" applyAlignment="1">
      <alignment horizontal="right" shrinkToFit="1"/>
    </xf>
    <xf numFmtId="0" fontId="36" fillId="35" borderId="10" xfId="44" applyNumberFormat="1" applyFont="1" applyFill="1" applyBorder="1" applyAlignment="1">
      <alignment vertical="top"/>
    </xf>
    <xf numFmtId="0" fontId="36" fillId="35" borderId="10" xfId="44" applyFont="1" applyFill="1" applyBorder="1" applyAlignment="1">
      <alignment vertical="top"/>
    </xf>
    <xf numFmtId="0" fontId="36" fillId="35" borderId="10" xfId="44" applyFont="1" applyFill="1" applyBorder="1" applyAlignment="1">
      <alignment vertical="top" wrapText="1"/>
    </xf>
    <xf numFmtId="167" fontId="33" fillId="0" borderId="26" xfId="42" applyNumberFormat="1" applyFont="1" applyFill="1" applyBorder="1" applyAlignment="1">
      <alignment horizontal="center"/>
    </xf>
    <xf numFmtId="166" fontId="33" fillId="0" borderId="10" xfId="42" applyNumberFormat="1" applyFont="1" applyFill="1" applyBorder="1" applyAlignment="1">
      <alignment horizontal="right" shrinkToFit="1"/>
    </xf>
    <xf numFmtId="166" fontId="37" fillId="0" borderId="10" xfId="42" applyNumberFormat="1" applyFont="1" applyFill="1" applyBorder="1" applyAlignment="1">
      <alignment horizontal="right" shrinkToFit="1"/>
    </xf>
    <xf numFmtId="166" fontId="33" fillId="0" borderId="27" xfId="42" applyNumberFormat="1" applyFont="1" applyFill="1" applyBorder="1" applyAlignment="1">
      <alignment horizontal="right" shrinkToFit="1"/>
    </xf>
    <xf numFmtId="0" fontId="37" fillId="0" borderId="0" xfId="43" applyFont="1"/>
    <xf numFmtId="0" fontId="36" fillId="35" borderId="28" xfId="44" applyNumberFormat="1" applyFont="1" applyFill="1" applyBorder="1" applyAlignment="1">
      <alignment vertical="top" wrapText="1"/>
    </xf>
    <xf numFmtId="166" fontId="19" fillId="0" borderId="10" xfId="42" applyNumberFormat="1" applyFont="1" applyFill="1" applyBorder="1" applyAlignment="1">
      <alignment shrinkToFit="1"/>
    </xf>
    <xf numFmtId="166" fontId="19" fillId="35" borderId="10" xfId="42" applyNumberFormat="1" applyFont="1" applyFill="1" applyBorder="1" applyAlignment="1">
      <alignment shrinkToFit="1"/>
    </xf>
    <xf numFmtId="166" fontId="19" fillId="35" borderId="27" xfId="42" applyNumberFormat="1" applyFont="1" applyFill="1" applyBorder="1" applyAlignment="1">
      <alignment horizontal="right" shrinkToFit="1"/>
    </xf>
    <xf numFmtId="166" fontId="19" fillId="0" borderId="29" xfId="42" applyNumberFormat="1" applyFont="1" applyFill="1" applyBorder="1" applyAlignment="1">
      <alignment horizontal="right" shrinkToFit="1"/>
    </xf>
    <xf numFmtId="166" fontId="19" fillId="0" borderId="0" xfId="42" applyNumberFormat="1" applyFont="1" applyFill="1" applyBorder="1" applyAlignment="1">
      <alignment horizontal="right" shrinkToFit="1"/>
    </xf>
    <xf numFmtId="166" fontId="32" fillId="0" borderId="0" xfId="42" applyNumberFormat="1" applyFont="1" applyFill="1" applyBorder="1" applyAlignment="1">
      <alignment horizontal="right" shrinkToFit="1"/>
    </xf>
    <xf numFmtId="0" fontId="19" fillId="0" borderId="0" xfId="43" applyFont="1" applyAlignment="1">
      <alignment horizontal="right"/>
    </xf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61" fillId="53" borderId="0" xfId="0" applyFont="1" applyFill="1"/>
    <xf numFmtId="0" fontId="0" fillId="51" borderId="0" xfId="0" applyFill="1"/>
    <xf numFmtId="0" fontId="0" fillId="54" borderId="0" xfId="0" applyFill="1"/>
    <xf numFmtId="0" fontId="0" fillId="52" borderId="0" xfId="0" applyFill="1"/>
    <xf numFmtId="0" fontId="0" fillId="49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0" borderId="0" xfId="0" applyFill="1"/>
    <xf numFmtId="0" fontId="0" fillId="0" borderId="0" xfId="0" applyAlignment="1">
      <alignment vertical="center" wrapText="1"/>
    </xf>
    <xf numFmtId="2" fontId="0" fillId="59" borderId="0" xfId="0" applyNumberFormat="1" applyFill="1"/>
    <xf numFmtId="0" fontId="0" fillId="59" borderId="0" xfId="0" applyFill="1"/>
    <xf numFmtId="14" fontId="0" fillId="0" borderId="0" xfId="0" applyNumberFormat="1"/>
    <xf numFmtId="14" fontId="0" fillId="60" borderId="0" xfId="0" applyNumberFormat="1" applyFill="1"/>
    <xf numFmtId="14" fontId="0" fillId="59" borderId="0" xfId="0" applyNumberFormat="1" applyFill="1"/>
    <xf numFmtId="14" fontId="0" fillId="43" borderId="0" xfId="0" applyNumberFormat="1" applyFill="1"/>
    <xf numFmtId="183" fontId="0" fillId="0" borderId="0" xfId="0" applyNumberFormat="1"/>
    <xf numFmtId="14" fontId="0" fillId="0" borderId="0" xfId="0" applyNumberFormat="1" applyAlignment="1">
      <alignment horizontal="right"/>
    </xf>
    <xf numFmtId="1" fontId="0" fillId="0" borderId="0" xfId="0" applyNumberFormat="1" applyAlignment="1">
      <alignment horizontal="center"/>
    </xf>
    <xf numFmtId="184" fontId="0" fillId="0" borderId="0" xfId="0" applyNumberFormat="1"/>
    <xf numFmtId="14" fontId="0" fillId="0" borderId="0" xfId="0" applyNumberFormat="1"/>
    <xf numFmtId="184" fontId="0" fillId="59" borderId="0" xfId="0" applyNumberFormat="1" applyFill="1"/>
    <xf numFmtId="14" fontId="0" fillId="59" borderId="0" xfId="0" applyNumberFormat="1" applyFill="1" applyAlignment="1">
      <alignment horizontal="right"/>
    </xf>
    <xf numFmtId="1" fontId="0" fillId="59" borderId="0" xfId="0" applyNumberFormat="1" applyFill="1" applyAlignment="1">
      <alignment horizontal="center"/>
    </xf>
    <xf numFmtId="14" fontId="0" fillId="59" borderId="0" xfId="0" applyNumberFormat="1" applyFill="1"/>
    <xf numFmtId="1" fontId="0" fillId="59" borderId="0" xfId="0" applyNumberFormat="1" applyFill="1"/>
    <xf numFmtId="0" fontId="61" fillId="59" borderId="0" xfId="0" applyFont="1" applyFill="1"/>
    <xf numFmtId="21" fontId="0" fillId="0" borderId="0" xfId="0" applyNumberFormat="1"/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center"/>
    </xf>
    <xf numFmtId="166" fontId="27" fillId="34" borderId="12" xfId="42" applyNumberFormat="1" applyFont="1" applyFill="1" applyBorder="1" applyAlignment="1">
      <alignment horizontal="center" wrapText="1"/>
    </xf>
    <xf numFmtId="0" fontId="25" fillId="34" borderId="11" xfId="42" applyFont="1" applyFill="1" applyBorder="1" applyAlignment="1">
      <alignment horizontal="center" vertical="center" wrapText="1"/>
    </xf>
    <xf numFmtId="0" fontId="25" fillId="34" borderId="18" xfId="42" applyFont="1" applyFill="1" applyBorder="1" applyAlignment="1">
      <alignment horizontal="center" vertical="center" wrapText="1"/>
    </xf>
    <xf numFmtId="0" fontId="25" fillId="34" borderId="12" xfId="42" applyFont="1" applyFill="1" applyBorder="1" applyAlignment="1">
      <alignment horizontal="center" vertical="center" wrapText="1"/>
    </xf>
    <xf numFmtId="0" fontId="25" fillId="34" borderId="19" xfId="42" applyFont="1" applyFill="1" applyBorder="1" applyAlignment="1">
      <alignment horizontal="center" vertical="center" wrapText="1"/>
    </xf>
    <xf numFmtId="0" fontId="26" fillId="34" borderId="12" xfId="42" applyNumberFormat="1" applyFont="1" applyFill="1" applyBorder="1" applyAlignment="1">
      <alignment horizontal="center" vertical="center" wrapText="1" shrinkToFit="1"/>
    </xf>
    <xf numFmtId="0" fontId="26" fillId="34" borderId="19" xfId="42" applyNumberFormat="1" applyFont="1" applyFill="1" applyBorder="1" applyAlignment="1">
      <alignment horizontal="center" vertical="center" wrapText="1" shrinkToFit="1"/>
    </xf>
    <xf numFmtId="166" fontId="25" fillId="34" borderId="12" xfId="42" applyNumberFormat="1" applyFont="1" applyFill="1" applyBorder="1" applyAlignment="1">
      <alignment horizontal="center" vertical="center" wrapText="1"/>
    </xf>
    <xf numFmtId="166" fontId="25" fillId="34" borderId="19" xfId="42" applyNumberFormat="1" applyFont="1" applyFill="1" applyBorder="1" applyAlignment="1">
      <alignment horizontal="center" vertical="center" wrapText="1"/>
    </xf>
    <xf numFmtId="0" fontId="28" fillId="35" borderId="14" xfId="43" applyNumberFormat="1" applyFont="1" applyFill="1" applyBorder="1" applyAlignment="1">
      <alignment horizontal="center" vertical="center" textRotation="180" wrapText="1"/>
    </xf>
    <xf numFmtId="0" fontId="28" fillId="35" borderId="21" xfId="43" applyNumberFormat="1" applyFont="1" applyFill="1" applyBorder="1" applyAlignment="1">
      <alignment horizontal="center" vertical="center" textRotation="180" wrapText="1"/>
    </xf>
    <xf numFmtId="166" fontId="27" fillId="34" borderId="13" xfId="42" applyNumberFormat="1" applyFont="1" applyFill="1" applyBorder="1" applyAlignment="1">
      <alignment horizontal="center" wrapText="1"/>
    </xf>
    <xf numFmtId="0" fontId="28" fillId="0" borderId="15" xfId="43" applyNumberFormat="1" applyFont="1" applyFill="1" applyBorder="1" applyAlignment="1">
      <alignment horizontal="center" vertical="center" textRotation="1" wrapText="1"/>
    </xf>
    <xf numFmtId="0" fontId="28" fillId="0" borderId="16" xfId="43" applyNumberFormat="1" applyFont="1" applyFill="1" applyBorder="1" applyAlignment="1">
      <alignment horizontal="center" vertical="center" textRotation="1" wrapText="1"/>
    </xf>
    <xf numFmtId="0" fontId="28" fillId="0" borderId="17" xfId="43" applyNumberFormat="1" applyFont="1" applyFill="1" applyBorder="1" applyAlignment="1">
      <alignment horizontal="center" vertical="center" textRotation="1" wrapText="1"/>
    </xf>
  </cellXfs>
  <cellStyles count="109">
    <cellStyle name="??" xfId="45"/>
    <cellStyle name="?? [0.00]_PRODUCT DETAIL Q1" xfId="46"/>
    <cellStyle name="?? [0]" xfId="47"/>
    <cellStyle name="???? [0.00]_PRODUCT DETAIL Q1" xfId="48"/>
    <cellStyle name="????_PRODUCT DETAIL Q1" xfId="49"/>
    <cellStyle name="???[0]_Book1" xfId="50"/>
    <cellStyle name="???_95" xfId="51"/>
    <cellStyle name="??_(????)??????" xfId="52"/>
    <cellStyle name="¹éºÐÀ²_±âÅ¸" xfId="53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ÅëÈ­ [0]_±âÅ¸" xfId="54"/>
    <cellStyle name="AeE­ [0]_INQUIRY ¿μ¾÷AßAø " xfId="55"/>
    <cellStyle name="ÅëÈ­ [0]_ÿÿÿÿÿÿ" xfId="56"/>
    <cellStyle name="ÅëÈ­_±âÅ¸" xfId="57"/>
    <cellStyle name="AeE­_INQUIRY ¿μ¾÷AßAø " xfId="58"/>
    <cellStyle name="ÅëÈ­_ÿÿÿÿÿÿ" xfId="59"/>
    <cellStyle name="ÄÞ¸¶ [0]_±âÅ¸" xfId="60"/>
    <cellStyle name="AÞ¸¶ [0]_INQUIRY ¿?¾÷AßAø " xfId="61"/>
    <cellStyle name="ÄÞ¸¶ [0]_ÿÿÿÿÿÿ" xfId="62"/>
    <cellStyle name="ÄÞ¸¶_±âÅ¸" xfId="63"/>
    <cellStyle name="AÞ¸¶_INQUIRY ¿?¾÷AßAø " xfId="64"/>
    <cellStyle name="ÄÞ¸¶_ÿÿÿÿÿÿ" xfId="65"/>
    <cellStyle name="Bad" xfId="7" builtinId="27" customBuiltin="1"/>
    <cellStyle name="C?AØ_¿?¾÷CoE² " xfId="66"/>
    <cellStyle name="Ç¥ÁØ_¿ù°£¿ä¾àº¸°í" xfId="67"/>
    <cellStyle name="C￥AØ_¿μ¾÷CoE² " xfId="68"/>
    <cellStyle name="Ç¥ÁØ_°èÈ¹" xfId="69"/>
    <cellStyle name="Calculation" xfId="11" builtinId="22" customBuiltin="1"/>
    <cellStyle name="Comma0" xfId="70"/>
    <cellStyle name="Currency0" xfId="71"/>
    <cellStyle name="Check Cell" xfId="13" builtinId="23" customBuiltin="1"/>
    <cellStyle name="Chuẩn 2" xfId="43"/>
    <cellStyle name="Date" xfId="72"/>
    <cellStyle name="Euro" xfId="73"/>
    <cellStyle name="Explanatory Text" xfId="16" builtinId="53" customBuiltin="1"/>
    <cellStyle name="Fixed" xfId="74"/>
    <cellStyle name="Good" xfId="6" builtinId="26" customBuiltin="1"/>
    <cellStyle name="Grey" xfId="75"/>
    <cellStyle name="Header1" xfId="76"/>
    <cellStyle name="Header2" xfId="77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Input [yellow]" xfId="78"/>
    <cellStyle name="Linked Cell" xfId="12" builtinId="24" customBuiltin="1"/>
    <cellStyle name="Milliers [0]_      " xfId="79"/>
    <cellStyle name="Milliers_      " xfId="80"/>
    <cellStyle name="Monétaire [0]_      " xfId="81"/>
    <cellStyle name="Monétaire_      " xfId="82"/>
    <cellStyle name="n" xfId="83"/>
    <cellStyle name="Neutral" xfId="8" builtinId="28" customBuiltin="1"/>
    <cellStyle name="Normal" xfId="0" builtinId="0"/>
    <cellStyle name="Normal - Style1" xfId="84"/>
    <cellStyle name="Normal 2" xfId="85"/>
    <cellStyle name="Normal 3" xfId="42"/>
    <cellStyle name="Normal 4" xfId="86"/>
    <cellStyle name="Normal_Sheet1" xfId="44"/>
    <cellStyle name="Note" xfId="15" builtinId="10" customBuiltin="1"/>
    <cellStyle name="Output" xfId="10" builtinId="21" customBuiltin="1"/>
    <cellStyle name="Percent [2]" xfId="87"/>
    <cellStyle name="PERCENTAGE" xfId="88"/>
    <cellStyle name="Title" xfId="1" builtinId="15" customBuiltin="1"/>
    <cellStyle name="Total" xfId="17" builtinId="25" customBuiltin="1"/>
    <cellStyle name="Warning Text" xfId="14" builtinId="11" customBuiltin="1"/>
    <cellStyle name=" [0.00]_ Att. 1- Cover" xfId="89"/>
    <cellStyle name="_ Att. 1- Cover" xfId="90"/>
    <cellStyle name="?_ Att. 1- Cover" xfId="91"/>
    <cellStyle name="똿뗦먛귟 [0.00]_PRODUCT DETAIL Q1" xfId="92"/>
    <cellStyle name="똿뗦먛귟_PRODUCT DETAIL Q1" xfId="93"/>
    <cellStyle name="믅됞 [0.00]_PRODUCT DETAIL Q1" xfId="94"/>
    <cellStyle name="믅됞_PRODUCT DETAIL Q1" xfId="95"/>
    <cellStyle name="백분율_95" xfId="96"/>
    <cellStyle name="뷭?_BOOKSHIP" xfId="97"/>
    <cellStyle name="콤마 [0]_1202" xfId="98"/>
    <cellStyle name="콤마_1202" xfId="99"/>
    <cellStyle name="통화 [0]_1202" xfId="100"/>
    <cellStyle name="통화_1202" xfId="101"/>
    <cellStyle name="표준_(정보부문)월별인원계획" xfId="102"/>
    <cellStyle name="一般_99Q3647-ALL-CAS2" xfId="103"/>
    <cellStyle name="千分位[0]_Book1" xfId="104"/>
    <cellStyle name="千分位_99Q3647-ALL-CAS2" xfId="105"/>
    <cellStyle name="貨幣 [0]_Book1" xfId="106"/>
    <cellStyle name="貨幣[0]_BRE" xfId="107"/>
    <cellStyle name="貨幣_Book1" xfId="10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FF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</xdr:row>
          <xdr:rowOff>38100</xdr:rowOff>
        </xdr:from>
        <xdr:to>
          <xdr:col>1</xdr:col>
          <xdr:colOff>1066800</xdr:colOff>
          <xdr:row>9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</xdr:row>
          <xdr:rowOff>144780</xdr:rowOff>
        </xdr:from>
        <xdr:to>
          <xdr:col>1</xdr:col>
          <xdr:colOff>739140</xdr:colOff>
          <xdr:row>6</xdr:row>
          <xdr:rowOff>106680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2</xdr:row>
          <xdr:rowOff>7620</xdr:rowOff>
        </xdr:from>
        <xdr:to>
          <xdr:col>1</xdr:col>
          <xdr:colOff>1203960</xdr:colOff>
          <xdr:row>4</xdr:row>
          <xdr:rowOff>38100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38100</xdr:rowOff>
        </xdr:from>
        <xdr:to>
          <xdr:col>1</xdr:col>
          <xdr:colOff>1013460</xdr:colOff>
          <xdr:row>17</xdr:row>
          <xdr:rowOff>91440</xdr:rowOff>
        </xdr:to>
        <xdr:sp macro="" textlink="">
          <xdr:nvSpPr>
            <xdr:cNvPr id="1033" name="CommandButton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12"/>
  <sheetViews>
    <sheetView tabSelected="1" zoomScale="85" zoomScaleNormal="85" workbookViewId="0">
      <selection activeCell="J10" sqref="J10"/>
    </sheetView>
  </sheetViews>
  <sheetFormatPr defaultRowHeight="13.8"/>
  <cols>
    <col min="1" max="1" width="2.69921875" customWidth="1"/>
    <col min="2" max="2" width="19.09765625" customWidth="1"/>
    <col min="3" max="3" width="3.09765625" customWidth="1"/>
    <col min="4" max="4" width="10" customWidth="1"/>
    <col min="5" max="5" width="5.3984375" customWidth="1"/>
    <col min="6" max="6" width="18" customWidth="1"/>
    <col min="7" max="7" width="5.3984375" customWidth="1"/>
    <col min="8" max="8" width="8.69921875" customWidth="1"/>
    <col min="9" max="9" width="4.8984375" customWidth="1"/>
    <col min="10" max="10" width="5.69921875" customWidth="1"/>
    <col min="11" max="11" width="7.09765625" customWidth="1"/>
    <col min="12" max="12" width="7.59765625" customWidth="1"/>
    <col min="13" max="13" width="12.3984375" customWidth="1"/>
  </cols>
  <sheetData>
    <row r="1" spans="1:21" ht="12" customHeight="1">
      <c r="A1" t="s">
        <v>0</v>
      </c>
      <c r="B1" t="s">
        <v>47</v>
      </c>
      <c r="E1" t="s">
        <v>45</v>
      </c>
      <c r="F1" t="s">
        <v>47</v>
      </c>
      <c r="K1" t="s">
        <v>98</v>
      </c>
      <c r="L1" s="21" t="s">
        <v>342</v>
      </c>
      <c r="M1" t="s">
        <v>455</v>
      </c>
      <c r="N1" s="32" t="s">
        <v>242</v>
      </c>
      <c r="O1" t="s">
        <v>307</v>
      </c>
      <c r="P1" t="s">
        <v>486</v>
      </c>
      <c r="Q1" t="s">
        <v>245</v>
      </c>
      <c r="R1" t="s">
        <v>263</v>
      </c>
      <c r="S1" t="s">
        <v>666</v>
      </c>
      <c r="T1" t="s">
        <v>697</v>
      </c>
      <c r="U1" t="s">
        <v>274</v>
      </c>
    </row>
    <row r="2" spans="1:21">
      <c r="A2" t="s">
        <v>1</v>
      </c>
      <c r="B2" t="s">
        <v>58</v>
      </c>
      <c r="C2" t="s">
        <v>2</v>
      </c>
      <c r="D2" t="s">
        <v>56</v>
      </c>
      <c r="E2" t="str">
        <f ca="1">IF(OR(F78&lt;&gt;"",C2&lt;&gt;""),INDIRECT("C"&amp;MATCH(REPT("z",255),$C$1:C2))&amp;1,"")</f>
        <v>A11</v>
      </c>
      <c r="F2" t="s">
        <v>49</v>
      </c>
      <c r="K2">
        <v>0.28000000000000003</v>
      </c>
    </row>
    <row r="3" spans="1:21">
      <c r="E3" t="str">
        <f ca="1">IF(OR(F79&lt;&gt;"",C3&lt;&gt;""),INDIRECT("C"&amp;MATCH(REPT("z",255),$C$1:C3))&amp;1,"")</f>
        <v>A11</v>
      </c>
      <c r="F3" t="s">
        <v>3</v>
      </c>
      <c r="K3">
        <v>0.28000000000000003</v>
      </c>
      <c r="L3">
        <v>5</v>
      </c>
    </row>
    <row r="4" spans="1:21">
      <c r="E4" t="str">
        <f ca="1">IF(OR(F80&lt;&gt;"",C4&lt;&gt;""),INDIRECT("C"&amp;MATCH(REPT("z",255),$C$1:C4))&amp;1,"")</f>
        <v>A11</v>
      </c>
      <c r="F4" t="s">
        <v>50</v>
      </c>
      <c r="K4">
        <v>0.05</v>
      </c>
      <c r="L4">
        <v>5</v>
      </c>
      <c r="M4">
        <v>0.05</v>
      </c>
      <c r="N4">
        <v>0.5</v>
      </c>
      <c r="O4">
        <v>0.2</v>
      </c>
      <c r="P4">
        <v>0.05</v>
      </c>
      <c r="U4" s="57">
        <v>0.03</v>
      </c>
    </row>
    <row r="5" spans="1:21">
      <c r="E5" t="str">
        <f ca="1">IF(OR(F81&lt;&gt;"",C5&lt;&gt;""),INDIRECT("C"&amp;MATCH(REPT("z",255),$C$1:C5))&amp;1,"")</f>
        <v>A11</v>
      </c>
      <c r="F5" t="s">
        <v>57</v>
      </c>
      <c r="K5">
        <v>0.28000000000000003</v>
      </c>
      <c r="L5">
        <v>0.3</v>
      </c>
      <c r="M5">
        <v>0.03</v>
      </c>
      <c r="N5">
        <v>0.5</v>
      </c>
      <c r="O5">
        <v>0.2</v>
      </c>
      <c r="P5">
        <v>0.05</v>
      </c>
      <c r="R5">
        <v>0.1</v>
      </c>
      <c r="S5">
        <v>0.01</v>
      </c>
    </row>
    <row r="6" spans="1:21">
      <c r="E6" t="str">
        <f ca="1">IF(OR(F82&lt;&gt;"",C6&lt;&gt;""),INDIRECT("C"&amp;MATCH(REPT("z",255),$C$1:C6))&amp;1,"")</f>
        <v>A11</v>
      </c>
      <c r="F6" t="s">
        <v>77</v>
      </c>
      <c r="I6" s="56"/>
      <c r="K6">
        <v>0.28000000000000003</v>
      </c>
      <c r="L6">
        <v>0.3</v>
      </c>
      <c r="M6">
        <v>0.03</v>
      </c>
      <c r="N6">
        <v>0.5</v>
      </c>
      <c r="O6">
        <v>0.2</v>
      </c>
      <c r="P6">
        <v>0.03</v>
      </c>
      <c r="Q6">
        <v>0.5</v>
      </c>
      <c r="R6">
        <v>0.1</v>
      </c>
      <c r="S6">
        <v>0.01</v>
      </c>
      <c r="T6">
        <v>0.2</v>
      </c>
      <c r="U6">
        <v>0.02</v>
      </c>
    </row>
    <row r="7" spans="1:21">
      <c r="E7" t="str">
        <f ca="1">IF(OR(F83&lt;&gt;"",C7&lt;&gt;""),INDIRECT("C"&amp;MATCH(REPT("z",255),$C$1:C7))&amp;1,"")</f>
        <v>A11</v>
      </c>
      <c r="F7" t="s">
        <v>619</v>
      </c>
      <c r="I7" s="56"/>
      <c r="K7">
        <v>0.28000000000000003</v>
      </c>
      <c r="P7">
        <v>0.05</v>
      </c>
      <c r="S7">
        <v>0.01</v>
      </c>
      <c r="U7">
        <v>0.05</v>
      </c>
    </row>
    <row r="8" spans="1:21">
      <c r="C8" t="s">
        <v>60</v>
      </c>
      <c r="D8" t="s">
        <v>59</v>
      </c>
      <c r="E8" t="str">
        <f ca="1">IF(OR(F8&lt;&gt;"",C8&lt;&gt;""),INDIRECT("C"&amp;MATCH(REPT("z",255),$C$1:C8))&amp;1,"")</f>
        <v>A21</v>
      </c>
      <c r="F8" t="s">
        <v>61</v>
      </c>
    </row>
    <row r="9" spans="1:21">
      <c r="E9" t="str">
        <f ca="1">IF(OR(F9&lt;&gt;"",C9&lt;&gt;""),INDIRECT("C"&amp;MATCH(REPT("z",255),$C$1:C9))&amp;1,"")</f>
        <v>A21</v>
      </c>
      <c r="F9" t="s">
        <v>660</v>
      </c>
    </row>
    <row r="10" spans="1:21">
      <c r="E10" t="str">
        <f ca="1">IF(OR(F10&lt;&gt;"",C10&lt;&gt;""),INDIRECT("C"&amp;MATCH(REPT("z",255),$C$1:C10))&amp;1,"")</f>
        <v>A21</v>
      </c>
      <c r="F10" t="s">
        <v>661</v>
      </c>
    </row>
    <row r="11" spans="1:21">
      <c r="E11" t="str">
        <f ca="1">IF(OR(F11&lt;&gt;"",C11&lt;&gt;""),INDIRECT("C"&amp;MATCH(REPT("z",255),$C$1:C11))&amp;1,"")</f>
        <v>A21</v>
      </c>
      <c r="F11" t="s">
        <v>675</v>
      </c>
    </row>
    <row r="12" spans="1:21">
      <c r="C12" t="s">
        <v>4</v>
      </c>
      <c r="D12" t="s">
        <v>5</v>
      </c>
      <c r="E12" t="str">
        <f ca="1">IF(OR(F12&lt;&gt;"",C12&lt;&gt;""),INDIRECT("C"&amp;MATCH(REPT("z",255),$C$1:C12))&amp;1,"")</f>
        <v>A31</v>
      </c>
      <c r="F12" t="s">
        <v>62</v>
      </c>
    </row>
    <row r="13" spans="1:21">
      <c r="E13" t="str">
        <f ca="1">IF(OR(F13&lt;&gt;"",C13&lt;&gt;""),INDIRECT("C"&amp;MATCH(REPT("z",255),$C$1:C13))&amp;1,"")</f>
        <v>A31</v>
      </c>
      <c r="F13" t="s">
        <v>6</v>
      </c>
    </row>
    <row r="14" spans="1:21">
      <c r="E14" t="str">
        <f ca="1">IF(OR(F14&lt;&gt;"",C14&lt;&gt;""),INDIRECT("C"&amp;MATCH(REPT("z",255),$C$1:C14))&amp;1,"")</f>
        <v>A31</v>
      </c>
      <c r="F14" t="s">
        <v>44</v>
      </c>
    </row>
    <row r="15" spans="1:21">
      <c r="E15" t="str">
        <f ca="1">IF(OR(F15&lt;&gt;"",C15&lt;&gt;""),INDIRECT("C"&amp;MATCH(REPT("z",255),$C$1:C15))&amp;1,"")</f>
        <v>A31</v>
      </c>
      <c r="F15" t="s">
        <v>662</v>
      </c>
    </row>
    <row r="16" spans="1:21">
      <c r="E16" t="str">
        <f ca="1">IF(OR(F16&lt;&gt;"",C16&lt;&gt;""),INDIRECT("C"&amp;MATCH(REPT("z",255),$C$1:C16))&amp;1,"")</f>
        <v>A31</v>
      </c>
      <c r="F16" t="s">
        <v>663</v>
      </c>
    </row>
    <row r="17" spans="3:6">
      <c r="C17" t="s">
        <v>95</v>
      </c>
      <c r="D17" t="s">
        <v>94</v>
      </c>
      <c r="E17" t="str">
        <f ca="1">IF(OR(F17&lt;&gt;"",C17&lt;&gt;""),INDIRECT("C"&amp;MATCH(REPT("z",255),$C$1:C17))&amp;1,"")</f>
        <v>A41</v>
      </c>
      <c r="F17" t="s">
        <v>7</v>
      </c>
    </row>
    <row r="18" spans="3:6">
      <c r="E18" t="str">
        <f ca="1">IF(OR(F18&lt;&gt;"",C18&lt;&gt;""),INDIRECT("C"&amp;MATCH(REPT("z",255),$C$1:C18))&amp;1,"")</f>
        <v>A41</v>
      </c>
      <c r="F18" t="s">
        <v>667</v>
      </c>
    </row>
    <row r="19" spans="3:6">
      <c r="C19" t="s">
        <v>8</v>
      </c>
      <c r="D19" t="s">
        <v>9</v>
      </c>
      <c r="E19" t="str">
        <f ca="1">IF(OR(F19&lt;&gt;"",C19&lt;&gt;""),INDIRECT("C"&amp;MATCH(REPT("z",255),$C$1:C19))&amp;1,"")</f>
        <v>A51</v>
      </c>
      <c r="F19" t="s">
        <v>10</v>
      </c>
    </row>
    <row r="20" spans="3:6">
      <c r="E20" t="str">
        <f ca="1">IF(OR(F20&lt;&gt;"",C20&lt;&gt;""),INDIRECT("C"&amp;MATCH(REPT("z",255),$C$1:C20))&amp;1,"")</f>
        <v>A51</v>
      </c>
      <c r="F20" t="s">
        <v>668</v>
      </c>
    </row>
    <row r="21" spans="3:6">
      <c r="E21" t="str">
        <f ca="1">IF(OR(F21&lt;&gt;"",C21&lt;&gt;""),INDIRECT("C"&amp;MATCH(REPT("z",255),$C$1:C21))&amp;1,"")</f>
        <v>A51</v>
      </c>
      <c r="F21" t="s">
        <v>11</v>
      </c>
    </row>
    <row r="22" spans="3:6">
      <c r="E22" t="str">
        <f ca="1">IF(OR(F22&lt;&gt;"",C22&lt;&gt;""),INDIRECT("C"&amp;MATCH(REPT("z",255),$C$1:C22))&amp;1,"")</f>
        <v>A51</v>
      </c>
      <c r="F22" t="s">
        <v>674</v>
      </c>
    </row>
    <row r="23" spans="3:6">
      <c r="C23" t="s">
        <v>12</v>
      </c>
      <c r="D23" t="s">
        <v>13</v>
      </c>
      <c r="E23" t="str">
        <f ca="1">IF(OR(F23&lt;&gt;"",C23&lt;&gt;""),INDIRECT("C"&amp;MATCH(REPT("z",255),$C$1:C23))&amp;1,"")</f>
        <v>A61</v>
      </c>
      <c r="F23" t="s">
        <v>14</v>
      </c>
    </row>
    <row r="24" spans="3:6">
      <c r="E24" t="str">
        <f ca="1">IF(OR(F24&lt;&gt;"",C24&lt;&gt;""),INDIRECT("C"&amp;MATCH(REPT("z",255),$C$1:C24))&amp;1,"")</f>
        <v>A61</v>
      </c>
      <c r="F24" t="s">
        <v>673</v>
      </c>
    </row>
    <row r="25" spans="3:6">
      <c r="E25" t="str">
        <f ca="1">IF(OR(F25&lt;&gt;"",C25&lt;&gt;""),INDIRECT("C"&amp;MATCH(REPT("z",255),$C$1:C25))&amp;1,"")</f>
        <v>A61</v>
      </c>
      <c r="F25" t="s">
        <v>15</v>
      </c>
    </row>
    <row r="26" spans="3:6">
      <c r="E26" t="str">
        <f ca="1">IF(OR(F26&lt;&gt;"",C26&lt;&gt;""),INDIRECT("C"&amp;MATCH(REPT("z",255),$C$1:C26))&amp;1,"")</f>
        <v>A61</v>
      </c>
      <c r="F26" t="s">
        <v>670</v>
      </c>
    </row>
    <row r="27" spans="3:6">
      <c r="E27" t="str">
        <f ca="1">IF(OR(F27&lt;&gt;"",C27&lt;&gt;""),INDIRECT("C"&amp;MATCH(REPT("z",255),$C$1:C27))&amp;1,"")</f>
        <v>A61</v>
      </c>
      <c r="F27" t="s">
        <v>671</v>
      </c>
    </row>
    <row r="28" spans="3:6">
      <c r="E28" t="str">
        <f ca="1">IF(OR(F28&lt;&gt;"",C28&lt;&gt;""),INDIRECT("C"&amp;MATCH(REPT("z",255),$C$1:C28))&amp;1,"")</f>
        <v>A61</v>
      </c>
      <c r="F28" t="s">
        <v>672</v>
      </c>
    </row>
    <row r="29" spans="3:6">
      <c r="E29" t="str">
        <f ca="1">IF(OR(F29&lt;&gt;"",C29&lt;&gt;""),INDIRECT("C"&amp;MATCH(REPT("z",255),$C$1:C29))&amp;1,"")</f>
        <v>A61</v>
      </c>
      <c r="F29" t="s">
        <v>16</v>
      </c>
    </row>
    <row r="30" spans="3:6">
      <c r="C30" t="s">
        <v>17</v>
      </c>
      <c r="D30" t="s">
        <v>18</v>
      </c>
      <c r="E30" t="str">
        <f ca="1">IF(OR(F30&lt;&gt;"",C30&lt;&gt;""),INDIRECT("C"&amp;MATCH(REPT("z",255),$C$1:C30))&amp;1,"")</f>
        <v>A71</v>
      </c>
      <c r="F30" t="s">
        <v>19</v>
      </c>
    </row>
    <row r="31" spans="3:6">
      <c r="E31" t="str">
        <f ca="1">IF(OR(F31&lt;&gt;"",C31&lt;&gt;""),INDIRECT("C"&amp;MATCH(REPT("z",255),$C$1:C31))&amp;1,"")</f>
        <v>A71</v>
      </c>
      <c r="F31" t="s">
        <v>20</v>
      </c>
    </row>
    <row r="32" spans="3:6">
      <c r="E32" t="str">
        <f ca="1">IF(OR(F32&lt;&gt;"",C32&lt;&gt;""),INDIRECT("C"&amp;MATCH(REPT("z",255),$C$1:C32))&amp;1,"")</f>
        <v>A71</v>
      </c>
      <c r="F32" t="s">
        <v>669</v>
      </c>
    </row>
    <row r="33" spans="1:6">
      <c r="E33" t="str">
        <f ca="1">IF(OR(F33&lt;&gt;"",C33&lt;&gt;""),INDIRECT("C"&amp;MATCH(REPT("z",255),$C$1:C33))&amp;1,"")</f>
        <v>A71</v>
      </c>
      <c r="F33" t="s">
        <v>21</v>
      </c>
    </row>
    <row r="34" spans="1:6">
      <c r="A34" t="s">
        <v>22</v>
      </c>
      <c r="B34" t="s">
        <v>96</v>
      </c>
      <c r="C34" t="str">
        <f>IF(A34&lt;&gt;"",A34&amp;1,A34)</f>
        <v>B1</v>
      </c>
      <c r="D34" t="s">
        <v>65</v>
      </c>
      <c r="E34" t="str">
        <f ca="1">IF(OR(F34&lt;&gt;"",C34&lt;&gt;""),INDIRECT("C"&amp;MATCH(REPT("z",255),$C$1:C34))&amp;1,"")</f>
        <v>B11</v>
      </c>
      <c r="F34" t="s">
        <v>48</v>
      </c>
    </row>
    <row r="35" spans="1:6">
      <c r="E35" t="str">
        <f ca="1">IF(OR(F35&lt;&gt;"",C35&lt;&gt;""),INDIRECT("C"&amp;MATCH(REPT("z",255),$C$1:C35))&amp;1,"")</f>
        <v>B11</v>
      </c>
      <c r="F35" t="s">
        <v>23</v>
      </c>
    </row>
    <row r="36" spans="1:6">
      <c r="E36" t="str">
        <f ca="1">IF(OR(F36&lt;&gt;"",C36&lt;&gt;""),INDIRECT("C"&amp;MATCH(REPT("z",255),$C$1:C36))&amp;1,"")</f>
        <v>B11</v>
      </c>
      <c r="F36" t="s">
        <v>55</v>
      </c>
    </row>
    <row r="37" spans="1:6">
      <c r="E37" t="s">
        <v>66</v>
      </c>
      <c r="F37" t="s">
        <v>64</v>
      </c>
    </row>
    <row r="38" spans="1:6">
      <c r="E38" t="s">
        <v>66</v>
      </c>
      <c r="F38" t="s">
        <v>676</v>
      </c>
    </row>
    <row r="39" spans="1:6">
      <c r="E39" t="s">
        <v>66</v>
      </c>
      <c r="F39" t="s">
        <v>677</v>
      </c>
    </row>
    <row r="40" spans="1:6">
      <c r="E40" t="s">
        <v>66</v>
      </c>
      <c r="F40" t="s">
        <v>678</v>
      </c>
    </row>
    <row r="41" spans="1:6">
      <c r="E41" t="s">
        <v>66</v>
      </c>
      <c r="F41" t="s">
        <v>550</v>
      </c>
    </row>
    <row r="42" spans="1:6" ht="13.5" customHeight="1">
      <c r="E42" t="s">
        <v>66</v>
      </c>
      <c r="F42" t="s">
        <v>679</v>
      </c>
    </row>
    <row r="43" spans="1:6">
      <c r="E43" t="s">
        <v>66</v>
      </c>
      <c r="F43" t="s">
        <v>680</v>
      </c>
    </row>
    <row r="44" spans="1:6">
      <c r="E44" t="s">
        <v>66</v>
      </c>
      <c r="F44" t="s">
        <v>681</v>
      </c>
    </row>
    <row r="45" spans="1:6">
      <c r="E45" t="s">
        <v>66</v>
      </c>
      <c r="F45" t="s">
        <v>682</v>
      </c>
    </row>
    <row r="46" spans="1:6">
      <c r="C46" t="s">
        <v>24</v>
      </c>
      <c r="D46" t="s">
        <v>25</v>
      </c>
      <c r="E46" t="str">
        <f ca="1">IF(OR(F46&lt;&gt;"",C46&lt;&gt;""),INDIRECT("C"&amp;MATCH(REPT("z",255),$C$1:C46))&amp;1,"")</f>
        <v>B21</v>
      </c>
      <c r="F46" t="s">
        <v>51</v>
      </c>
    </row>
    <row r="47" spans="1:6">
      <c r="E47" t="str">
        <f ca="1">IF(OR(F47&lt;&gt;"",C47&lt;&gt;""),INDIRECT("C"&amp;MATCH(REPT("z",255),$C$1:C47))&amp;1,"")</f>
        <v>B21</v>
      </c>
      <c r="F47" t="s">
        <v>26</v>
      </c>
    </row>
    <row r="48" spans="1:6">
      <c r="E48" t="str">
        <f ca="1">IF(OR(F48&lt;&gt;"",C48&lt;&gt;""),INDIRECT("C"&amp;MATCH(REPT("z",255),$C$1:C48))&amp;1,"")</f>
        <v>B21</v>
      </c>
      <c r="F48" t="s">
        <v>27</v>
      </c>
    </row>
    <row r="49" spans="3:6">
      <c r="E49" t="str">
        <f ca="1">IF(OR(F49&lt;&gt;"",C49&lt;&gt;""),INDIRECT("C"&amp;MATCH(REPT("z",255),$C$1:C49))&amp;1,"")</f>
        <v>B21</v>
      </c>
      <c r="F49" t="s">
        <v>683</v>
      </c>
    </row>
    <row r="50" spans="3:6">
      <c r="E50" t="str">
        <f ca="1">IF(OR(F50&lt;&gt;"",C50&lt;&gt;""),INDIRECT("C"&amp;MATCH(REPT("z",255),$C$1:C50))&amp;1,"")</f>
        <v>B21</v>
      </c>
      <c r="F50" t="s">
        <v>370</v>
      </c>
    </row>
    <row r="51" spans="3:6">
      <c r="E51" t="str">
        <f ca="1">IF(OR(F51&lt;&gt;"",C51&lt;&gt;""),INDIRECT("C"&amp;MATCH(REPT("z",255),$C$1:C51))&amp;1,"")</f>
        <v>B21</v>
      </c>
      <c r="F51" t="s">
        <v>684</v>
      </c>
    </row>
    <row r="52" spans="3:6">
      <c r="E52" t="str">
        <f ca="1">IF(OR(F52&lt;&gt;"",C52&lt;&gt;""),INDIRECT("C"&amp;MATCH(REPT("z",255),$C$1:C52))&amp;1,"")</f>
        <v>B21</v>
      </c>
      <c r="F52" t="s">
        <v>685</v>
      </c>
    </row>
    <row r="53" spans="3:6">
      <c r="E53" t="str">
        <f ca="1">IF(OR(F53&lt;&gt;"",C53&lt;&gt;""),INDIRECT("C"&amp;MATCH(REPT("z",255),$C$1:C53))&amp;1,"")</f>
        <v>B21</v>
      </c>
      <c r="F53" t="s">
        <v>28</v>
      </c>
    </row>
    <row r="54" spans="3:6">
      <c r="E54" t="str">
        <f ca="1">IF(OR(F54&lt;&gt;"",C54&lt;&gt;""),INDIRECT("C"&amp;MATCH(REPT("z",255),$C$1:C54))&amp;1,"")</f>
        <v>B21</v>
      </c>
      <c r="F54" t="s">
        <v>29</v>
      </c>
    </row>
    <row r="55" spans="3:6">
      <c r="E55" t="str">
        <f ca="1">IF(OR(F55&lt;&gt;"",C55&lt;&gt;""),INDIRECT("C"&amp;MATCH(REPT("z",255),$C$1:C55))&amp;1,"")</f>
        <v>B21</v>
      </c>
      <c r="F55" t="s">
        <v>686</v>
      </c>
    </row>
    <row r="56" spans="3:6">
      <c r="E56" t="str">
        <f ca="1">IF(OR(F56&lt;&gt;"",C56&lt;&gt;""),INDIRECT("C"&amp;MATCH(REPT("z",255),$C$1:C56))&amp;1,"")</f>
        <v>B21</v>
      </c>
      <c r="F56" t="s">
        <v>687</v>
      </c>
    </row>
    <row r="57" spans="3:6">
      <c r="C57" t="s">
        <v>74</v>
      </c>
      <c r="D57" t="s">
        <v>73</v>
      </c>
      <c r="E57" t="str">
        <f ca="1">IF(OR(F57&lt;&gt;"",C57&lt;&gt;""),INDIRECT("C"&amp;MATCH(REPT("z",255),$C$1:C57))&amp;1,"")</f>
        <v>B31</v>
      </c>
      <c r="F57" t="s">
        <v>30</v>
      </c>
    </row>
    <row r="58" spans="3:6">
      <c r="E58" t="str">
        <f ca="1">IF(OR(F58&lt;&gt;"",C58&lt;&gt;""),INDIRECT("C"&amp;MATCH(REPT("z",255),$C$1:C58))&amp;1,"")</f>
        <v>B31</v>
      </c>
      <c r="F58" t="s">
        <v>31</v>
      </c>
    </row>
    <row r="59" spans="3:6">
      <c r="E59" t="s">
        <v>80</v>
      </c>
      <c r="F59" t="s">
        <v>78</v>
      </c>
    </row>
    <row r="60" spans="3:6">
      <c r="E60" t="str">
        <f ca="1">IF(OR(F60&lt;&gt;"",C60&lt;&gt;""),INDIRECT("C"&amp;MATCH(REPT("z",255),$C$1:C60))&amp;1,"")</f>
        <v>B31</v>
      </c>
      <c r="F60" t="s">
        <v>688</v>
      </c>
    </row>
    <row r="61" spans="3:6">
      <c r="E61" t="s">
        <v>80</v>
      </c>
      <c r="F61" t="s">
        <v>689</v>
      </c>
    </row>
    <row r="62" spans="3:6">
      <c r="E62" t="str">
        <f ca="1">IF(OR(F62&lt;&gt;"",C62&lt;&gt;""),INDIRECT("C"&amp;MATCH(REPT("z",255),$C$1:C62))&amp;1,"")</f>
        <v>B31</v>
      </c>
      <c r="F62" t="s">
        <v>690</v>
      </c>
    </row>
    <row r="63" spans="3:6">
      <c r="E63" t="str">
        <f ca="1">IF(OR(F63&lt;&gt;"",C63&lt;&gt;""),INDIRECT("C"&amp;MATCH(REPT("z",255),$C$1:C63))&amp;1,"")</f>
        <v>B31</v>
      </c>
      <c r="F63" t="s">
        <v>691</v>
      </c>
    </row>
    <row r="64" spans="3:6">
      <c r="E64" t="str">
        <f ca="1">IF(OR(F64&lt;&gt;"",C64&lt;&gt;""),INDIRECT("C"&amp;MATCH(REPT("z",255),$C$1:C64))&amp;1,"")</f>
        <v>B31</v>
      </c>
      <c r="F64" t="s">
        <v>692</v>
      </c>
    </row>
    <row r="65" spans="1:6">
      <c r="C65" t="s">
        <v>76</v>
      </c>
      <c r="D65" t="s">
        <v>75</v>
      </c>
      <c r="E65" t="str">
        <f ca="1">IF(OR(F65&lt;&gt;"",C65&lt;&gt;""),INDIRECT("C"&amp;MATCH(REPT("z",255),$C$1:C65))&amp;1,"")</f>
        <v>B41</v>
      </c>
      <c r="F65" t="s">
        <v>695</v>
      </c>
    </row>
    <row r="66" spans="1:6">
      <c r="E66" t="str">
        <f ca="1">IF(OR(F66&lt;&gt;"",C66&lt;&gt;""),INDIRECT("C"&amp;MATCH(REPT("z",255),$C$1:C66))&amp;1,"")</f>
        <v>B41</v>
      </c>
      <c r="F66" t="s">
        <v>694</v>
      </c>
    </row>
    <row r="67" spans="1:6">
      <c r="E67" t="str">
        <f ca="1">IF(OR(F67&lt;&gt;"",C67&lt;&gt;""),INDIRECT("C"&amp;MATCH(REPT("z",255),$C$1:C67))&amp;1,"")</f>
        <v>B41</v>
      </c>
      <c r="F67" t="s">
        <v>32</v>
      </c>
    </row>
    <row r="68" spans="1:6">
      <c r="E68" t="str">
        <f ca="1">IF(OR(F68&lt;&gt;"",C68&lt;&gt;""),INDIRECT("C"&amp;MATCH(REPT("z",255),$C$1:C68))&amp;1,"")</f>
        <v>B41</v>
      </c>
      <c r="F68" t="s">
        <v>693</v>
      </c>
    </row>
    <row r="69" spans="1:6">
      <c r="A69" t="s">
        <v>72</v>
      </c>
      <c r="B69" t="s">
        <v>67</v>
      </c>
      <c r="C69" t="s">
        <v>69</v>
      </c>
      <c r="D69" t="s">
        <v>82</v>
      </c>
      <c r="E69" t="str">
        <f ca="1">IF(OR(F69&lt;&gt;"",C69&lt;&gt;""),INDIRECT("C"&amp;MATCH(REPT("z",255),$C$1:C69))&amp;1,"")</f>
        <v>C11</v>
      </c>
      <c r="F69" t="s">
        <v>33</v>
      </c>
    </row>
    <row r="70" spans="1:6">
      <c r="E70" t="s">
        <v>83</v>
      </c>
      <c r="F70" t="s">
        <v>664</v>
      </c>
    </row>
    <row r="71" spans="1:6">
      <c r="E71" t="s">
        <v>88</v>
      </c>
      <c r="F71" t="s">
        <v>89</v>
      </c>
    </row>
    <row r="72" spans="1:6">
      <c r="C72" t="s">
        <v>34</v>
      </c>
      <c r="D72" t="s">
        <v>35</v>
      </c>
      <c r="E72" t="str">
        <f ca="1">IF(OR(F72&lt;&gt;"",C72&lt;&gt;""),INDIRECT("C"&amp;MATCH(REPT("z",255),$C$1:C72))&amp;1,"")</f>
        <v>C21</v>
      </c>
      <c r="F72" t="s">
        <v>70</v>
      </c>
    </row>
    <row r="73" spans="1:6">
      <c r="E73" t="str">
        <f ca="1">IF(OR(F73&lt;&gt;"",C73&lt;&gt;""),INDIRECT("C"&amp;MATCH(REPT("z",255),$C$1:C73))&amp;1,"")</f>
        <v>C21</v>
      </c>
      <c r="F73" t="s">
        <v>90</v>
      </c>
    </row>
    <row r="74" spans="1:6">
      <c r="C74" t="s">
        <v>86</v>
      </c>
      <c r="D74" t="s">
        <v>84</v>
      </c>
      <c r="E74" t="str">
        <f ca="1">IF(OR(F74&lt;&gt;"",C74&lt;&gt;""),INDIRECT("C"&amp;MATCH(REPT("z",255),$C$1:C74))&amp;1,"")</f>
        <v>C31</v>
      </c>
      <c r="F74" t="s">
        <v>36</v>
      </c>
    </row>
    <row r="75" spans="1:6">
      <c r="C75" t="s">
        <v>87</v>
      </c>
      <c r="D75" t="s">
        <v>85</v>
      </c>
      <c r="E75" t="str">
        <f ca="1">IF(OR(F75&lt;&gt;"",C75&lt;&gt;""),INDIRECT("C"&amp;MATCH(REPT("z",255),$C$1:C75))&amp;1,"")</f>
        <v>C41</v>
      </c>
      <c r="F75" t="s">
        <v>37</v>
      </c>
    </row>
    <row r="76" spans="1:6">
      <c r="C76" t="s">
        <v>38</v>
      </c>
      <c r="D76" t="s">
        <v>39</v>
      </c>
      <c r="E76" t="str">
        <f ca="1">IF(OR(F76&lt;&gt;"",C76&lt;&gt;""),INDIRECT("C"&amp;MATCH(REPT("z",255),$C$1:C76))&amp;1,"")</f>
        <v>C51</v>
      </c>
      <c r="F76" t="s">
        <v>40</v>
      </c>
    </row>
    <row r="77" spans="1:6">
      <c r="C77" t="s">
        <v>41</v>
      </c>
      <c r="D77" t="s">
        <v>42</v>
      </c>
      <c r="E77" t="str">
        <f ca="1">IF(OR(F77&lt;&gt;"",C77&lt;&gt;""),INDIRECT("C"&amp;MATCH(REPT("z",255),$C$1:C77))&amp;1,"")</f>
        <v>C61</v>
      </c>
      <c r="F77" t="s">
        <v>43</v>
      </c>
    </row>
    <row r="78" spans="1:6">
      <c r="C78" t="s">
        <v>46</v>
      </c>
      <c r="D78" t="s">
        <v>696</v>
      </c>
      <c r="E78" t="str">
        <f ca="1">IF(OR(F78&lt;&gt;"",C78&lt;&gt;""),INDIRECT("C"&amp;MATCH(REPT("z",255),$C$1:C78))&amp;1,"")</f>
        <v>A81</v>
      </c>
      <c r="F78" t="s">
        <v>71</v>
      </c>
    </row>
    <row r="79" spans="1:6">
      <c r="E79" t="str">
        <f ca="1">IF(OR(F79&lt;&gt;"",C79&lt;&gt;""),INDIRECT("C"&amp;MATCH(REPT("z",255),$C$1:C79))&amp;1,"")</f>
        <v>A81</v>
      </c>
      <c r="F79" t="s">
        <v>91</v>
      </c>
    </row>
    <row r="80" spans="1:6">
      <c r="E80" t="str">
        <f ca="1">IF(OR(F80&lt;&gt;"",C80&lt;&gt;""),INDIRECT("C"&amp;MATCH(REPT("z",255),$C$1:C80))&amp;1,"")</f>
        <v>A81</v>
      </c>
      <c r="F80" t="s">
        <v>93</v>
      </c>
    </row>
    <row r="81" spans="1:6">
      <c r="A81" t="s">
        <v>52</v>
      </c>
      <c r="B81" t="s">
        <v>68</v>
      </c>
      <c r="C81" t="s">
        <v>53</v>
      </c>
      <c r="D81" t="s">
        <v>81</v>
      </c>
      <c r="E81" t="str">
        <f ca="1">IF(OR(F81&lt;&gt;"",C81&lt;&gt;""),INDIRECT("C"&amp;MATCH(REPT("z",255),$C$1:C81))&amp;1,"")</f>
        <v>D11</v>
      </c>
      <c r="F81" t="s">
        <v>54</v>
      </c>
    </row>
    <row r="82" spans="1:6">
      <c r="E82" t="str">
        <f ca="1">IF(OR(F82&lt;&gt;"",C82&lt;&gt;""),INDIRECT("C"&amp;MATCH(REPT("z",255),$C$1:C82))&amp;1,"")</f>
        <v>D11</v>
      </c>
      <c r="F82" t="s">
        <v>79</v>
      </c>
    </row>
    <row r="83" spans="1:6">
      <c r="E83" t="str">
        <f ca="1">IF(OR(F83&lt;&gt;"",C83&lt;&gt;""),INDIRECT("C"&amp;MATCH(REPT("z",255),$C$1:C83))&amp;1,"")</f>
        <v>D11</v>
      </c>
      <c r="F83" t="s">
        <v>63</v>
      </c>
    </row>
    <row r="84" spans="1:6">
      <c r="A84" t="s">
        <v>620</v>
      </c>
      <c r="B84" t="s">
        <v>631</v>
      </c>
      <c r="C84" t="s">
        <v>622</v>
      </c>
      <c r="D84" t="s">
        <v>621</v>
      </c>
      <c r="E84" t="s">
        <v>630</v>
      </c>
      <c r="F84" t="s">
        <v>623</v>
      </c>
    </row>
    <row r="85" spans="1:6">
      <c r="E85" t="s">
        <v>630</v>
      </c>
      <c r="F85" t="s">
        <v>624</v>
      </c>
    </row>
    <row r="86" spans="1:6">
      <c r="E86" t="s">
        <v>630</v>
      </c>
      <c r="F86" t="s">
        <v>322</v>
      </c>
    </row>
    <row r="87" spans="1:6">
      <c r="E87" t="s">
        <v>630</v>
      </c>
      <c r="F87" t="s">
        <v>625</v>
      </c>
    </row>
    <row r="88" spans="1:6">
      <c r="E88" t="s">
        <v>630</v>
      </c>
      <c r="F88" t="s">
        <v>626</v>
      </c>
    </row>
    <row r="89" spans="1:6">
      <c r="E89" t="s">
        <v>630</v>
      </c>
      <c r="F89" t="s">
        <v>627</v>
      </c>
    </row>
    <row r="90" spans="1:6">
      <c r="E90" t="s">
        <v>630</v>
      </c>
      <c r="F90" t="s">
        <v>628</v>
      </c>
    </row>
    <row r="91" spans="1:6">
      <c r="E91" t="s">
        <v>630</v>
      </c>
      <c r="F91" t="s">
        <v>629</v>
      </c>
    </row>
    <row r="92" spans="1:6">
      <c r="E92" t="s">
        <v>630</v>
      </c>
      <c r="F92" t="s">
        <v>324</v>
      </c>
    </row>
    <row r="93" spans="1:6">
      <c r="A93" t="s">
        <v>633</v>
      </c>
      <c r="B93" t="s">
        <v>632</v>
      </c>
      <c r="C93" t="s">
        <v>634</v>
      </c>
      <c r="D93" t="s">
        <v>635</v>
      </c>
      <c r="E93" t="s">
        <v>646</v>
      </c>
      <c r="F93" t="s">
        <v>636</v>
      </c>
    </row>
    <row r="94" spans="1:6">
      <c r="E94" t="s">
        <v>646</v>
      </c>
      <c r="F94" t="s">
        <v>637</v>
      </c>
    </row>
    <row r="95" spans="1:6">
      <c r="E95" t="s">
        <v>646</v>
      </c>
      <c r="F95" t="s">
        <v>638</v>
      </c>
    </row>
    <row r="96" spans="1:6">
      <c r="E96" t="s">
        <v>646</v>
      </c>
      <c r="F96" t="s">
        <v>639</v>
      </c>
    </row>
    <row r="97" spans="3:6">
      <c r="E97" t="s">
        <v>646</v>
      </c>
      <c r="F97" t="s">
        <v>640</v>
      </c>
    </row>
    <row r="98" spans="3:6">
      <c r="E98" t="s">
        <v>646</v>
      </c>
      <c r="F98" t="s">
        <v>655</v>
      </c>
    </row>
    <row r="99" spans="3:6">
      <c r="E99" t="s">
        <v>646</v>
      </c>
      <c r="F99" t="s">
        <v>656</v>
      </c>
    </row>
    <row r="100" spans="3:6">
      <c r="E100" t="s">
        <v>646</v>
      </c>
      <c r="F100" t="s">
        <v>657</v>
      </c>
    </row>
    <row r="101" spans="3:6">
      <c r="E101" t="s">
        <v>646</v>
      </c>
      <c r="F101" t="s">
        <v>658</v>
      </c>
    </row>
    <row r="102" spans="3:6">
      <c r="C102" t="s">
        <v>641</v>
      </c>
      <c r="D102" t="s">
        <v>642</v>
      </c>
      <c r="E102" t="s">
        <v>659</v>
      </c>
      <c r="F102" t="s">
        <v>643</v>
      </c>
    </row>
    <row r="103" spans="3:6">
      <c r="E103" t="s">
        <v>659</v>
      </c>
      <c r="F103" t="s">
        <v>644</v>
      </c>
    </row>
    <row r="104" spans="3:6">
      <c r="E104" t="s">
        <v>659</v>
      </c>
      <c r="F104" t="s">
        <v>645</v>
      </c>
    </row>
    <row r="105" spans="3:6">
      <c r="E105" t="s">
        <v>659</v>
      </c>
      <c r="F105" t="s">
        <v>647</v>
      </c>
    </row>
    <row r="106" spans="3:6">
      <c r="E106" t="s">
        <v>659</v>
      </c>
      <c r="F106" t="s">
        <v>648</v>
      </c>
    </row>
    <row r="107" spans="3:6">
      <c r="E107" t="s">
        <v>659</v>
      </c>
      <c r="F107" t="s">
        <v>649</v>
      </c>
    </row>
    <row r="108" spans="3:6">
      <c r="E108" t="s">
        <v>659</v>
      </c>
      <c r="F108" t="s">
        <v>650</v>
      </c>
    </row>
    <row r="109" spans="3:6">
      <c r="E109" t="s">
        <v>659</v>
      </c>
      <c r="F109" t="s">
        <v>651</v>
      </c>
    </row>
    <row r="110" spans="3:6">
      <c r="E110" t="s">
        <v>659</v>
      </c>
      <c r="F110" t="s">
        <v>652</v>
      </c>
    </row>
    <row r="111" spans="3:6">
      <c r="E111" t="s">
        <v>659</v>
      </c>
      <c r="F111" t="s">
        <v>653</v>
      </c>
    </row>
    <row r="112" spans="3:6">
      <c r="E112" t="s">
        <v>659</v>
      </c>
      <c r="F112" t="s">
        <v>654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6">
          <controlPr defaultSize="0" autoLine="0" r:id="rId5">
            <anchor moveWithCells="1">
              <from>
                <xdr:col>1</xdr:col>
                <xdr:colOff>0</xdr:colOff>
                <xdr:row>14</xdr:row>
                <xdr:rowOff>38100</xdr:rowOff>
              </from>
              <to>
                <xdr:col>1</xdr:col>
                <xdr:colOff>1013460</xdr:colOff>
                <xdr:row>17</xdr:row>
                <xdr:rowOff>91440</xdr:rowOff>
              </to>
            </anchor>
          </controlPr>
        </control>
      </mc:Choice>
      <mc:Fallback>
        <control shapeId="1033" r:id="rId4" name="CommandButton6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152400</xdr:colOff>
                <xdr:row>3</xdr:row>
                <xdr:rowOff>144780</xdr:rowOff>
              </from>
              <to>
                <xdr:col>1</xdr:col>
                <xdr:colOff>739140</xdr:colOff>
                <xdr:row>6</xdr:row>
                <xdr:rowOff>106680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</xdr:col>
                <xdr:colOff>76200</xdr:colOff>
                <xdr:row>7</xdr:row>
                <xdr:rowOff>38100</xdr:rowOff>
              </from>
              <to>
                <xdr:col>1</xdr:col>
                <xdr:colOff>1066800</xdr:colOff>
                <xdr:row>9</xdr:row>
                <xdr:rowOff>114300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7" r:id="rId10" name="CommandButton3">
          <controlPr defaultSize="0" autoLine="0" r:id="rId11">
            <anchor moveWithCells="1">
              <from>
                <xdr:col>1</xdr:col>
                <xdr:colOff>220980</xdr:colOff>
                <xdr:row>2</xdr:row>
                <xdr:rowOff>7620</xdr:rowOff>
              </from>
              <to>
                <xdr:col>1</xdr:col>
                <xdr:colOff>1203960</xdr:colOff>
                <xdr:row>4</xdr:row>
                <xdr:rowOff>38100</xdr:rowOff>
              </to>
            </anchor>
          </controlPr>
        </control>
      </mc:Choice>
      <mc:Fallback>
        <control shapeId="1027" r:id="rId10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B200"/>
  <sheetViews>
    <sheetView topLeftCell="AF1" workbookViewId="0">
      <selection activeCell="AM9" sqref="AM9"/>
    </sheetView>
  </sheetViews>
  <sheetFormatPr defaultRowHeight="13.8"/>
  <cols>
    <col min="1" max="1" width="11" customWidth="1"/>
    <col min="2" max="2" width="22.5" customWidth="1"/>
    <col min="3" max="3" width="45.09765625" customWidth="1"/>
    <col min="5" max="5" width="13.5" customWidth="1"/>
    <col min="6" max="6" width="9" style="57"/>
    <col min="13" max="13" width="4.19921875" customWidth="1"/>
    <col min="14" max="14" width="15.09765625" customWidth="1"/>
    <col min="15" max="15" width="6.19921875" customWidth="1"/>
    <col min="16" max="16" width="9.69921875" customWidth="1"/>
    <col min="20" max="20" width="46.5" customWidth="1"/>
    <col min="21" max="21" width="41" customWidth="1"/>
    <col min="22" max="22" width="14.69921875" customWidth="1"/>
    <col min="41" max="41" width="13" bestFit="1" customWidth="1"/>
    <col min="339" max="339" width="12.59765625" customWidth="1"/>
  </cols>
  <sheetData>
    <row r="1" spans="1:340" ht="19.5" customHeight="1">
      <c r="A1">
        <v>1</v>
      </c>
      <c r="D1" t="s">
        <v>618</v>
      </c>
      <c r="E1" s="81" t="s">
        <v>698</v>
      </c>
      <c r="F1" t="s">
        <v>136</v>
      </c>
      <c r="I1" s="58"/>
      <c r="J1" t="s">
        <v>698</v>
      </c>
      <c r="K1" t="s">
        <v>699</v>
      </c>
      <c r="M1" t="s">
        <v>110</v>
      </c>
      <c r="N1" t="s">
        <v>698</v>
      </c>
      <c r="O1" t="s">
        <v>699</v>
      </c>
      <c r="P1" s="86" t="s">
        <v>136</v>
      </c>
      <c r="T1" t="str">
        <f>LEFT(U1,SEARCH("$",SUBSTITUTE(U1,",","$",LEN(U1)-LEN(SUBSTITUTE(U1,",",""))))-1)</f>
        <v>Cơm tẻ</v>
      </c>
      <c r="U1" s="21" t="s">
        <v>700</v>
      </c>
      <c r="V1" t="str">
        <f>RIGHT(U1,LEN(U1)-SEARCH("$",SUBSTITUTE(U1,",","$",LEN(U1)-LEN(SUBSTITUTE(U1,",",""))))-1)</f>
        <v>Cơm rang</v>
      </c>
      <c r="AO1" s="97">
        <f ca="1">NOW()</f>
        <v>44297.624742361113</v>
      </c>
      <c r="MA1" t="s">
        <v>851</v>
      </c>
      <c r="MB1" t="s">
        <v>852</v>
      </c>
    </row>
    <row r="2" spans="1:340" ht="15.6">
      <c r="N2" s="21"/>
      <c r="P2" s="86"/>
      <c r="T2" s="21"/>
      <c r="U2" s="21"/>
      <c r="W2">
        <v>1</v>
      </c>
    </row>
    <row r="3" spans="1:340" ht="15.6">
      <c r="N3" s="21"/>
      <c r="P3" s="86"/>
      <c r="W3">
        <v>1</v>
      </c>
    </row>
    <row r="4" spans="1:340" ht="15" customHeight="1">
      <c r="N4" s="32"/>
      <c r="P4" s="86"/>
    </row>
    <row r="5" spans="1:340">
      <c r="P5" s="86"/>
    </row>
    <row r="6" spans="1:340">
      <c r="P6" s="86"/>
    </row>
    <row r="7" spans="1:340">
      <c r="P7" s="86"/>
    </row>
    <row r="8" spans="1:340" ht="15.6">
      <c r="B8" s="32"/>
      <c r="P8" s="86"/>
    </row>
    <row r="9" spans="1:340">
      <c r="P9" s="86"/>
    </row>
    <row r="10" spans="1:340">
      <c r="P10" s="86"/>
    </row>
    <row r="11" spans="1:340" ht="15.6">
      <c r="B11" s="32"/>
      <c r="P11" s="86"/>
    </row>
    <row r="12" spans="1:340">
      <c r="P12" s="86"/>
    </row>
    <row r="13" spans="1:340">
      <c r="P13" s="58"/>
    </row>
    <row r="17" spans="2:2" ht="15.6">
      <c r="B17" s="32"/>
    </row>
    <row r="100" spans="5:5">
      <c r="E100" s="81"/>
    </row>
    <row r="200" spans="5:5">
      <c r="E200" s="8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40"/>
  <sheetViews>
    <sheetView workbookViewId="0">
      <selection activeCell="J1" sqref="J1"/>
    </sheetView>
  </sheetViews>
  <sheetFormatPr defaultRowHeight="13.8"/>
  <cols>
    <col min="1" max="1" width="5" style="89" customWidth="1"/>
    <col min="2" max="2" width="10.5" style="87" customWidth="1"/>
    <col min="3" max="3" width="5.8984375" style="88" bestFit="1" customWidth="1"/>
    <col min="4" max="4" width="10.5" customWidth="1"/>
    <col min="5" max="5" width="13.09765625" customWidth="1"/>
    <col min="6" max="6" width="12.3984375" customWidth="1"/>
    <col min="7" max="7" width="12.5" bestFit="1" customWidth="1"/>
    <col min="8" max="8" width="14.8984375" customWidth="1"/>
    <col min="9" max="9" width="14.3984375" customWidth="1"/>
    <col min="10" max="10" width="15" style="56" customWidth="1"/>
    <col min="11" max="11" width="10.8984375" customWidth="1"/>
    <col min="12" max="12" width="9" customWidth="1"/>
    <col min="13" max="13" width="9" style="58"/>
    <col min="14" max="14" width="9" customWidth="1"/>
    <col min="15" max="15" width="17.5" customWidth="1"/>
    <col min="16" max="16" width="9" customWidth="1"/>
    <col min="18" max="18" width="13" bestFit="1" customWidth="1"/>
    <col min="19" max="19" width="18.59765625" customWidth="1"/>
    <col min="20" max="20" width="14.3984375" customWidth="1"/>
    <col min="21" max="21" width="14.09765625" customWidth="1"/>
    <col min="26" max="26" width="9.8984375" bestFit="1" customWidth="1"/>
  </cols>
  <sheetData>
    <row r="1" spans="1:29" ht="14.25" customHeight="1">
      <c r="A1" s="89" t="s">
        <v>665</v>
      </c>
      <c r="B1" s="87" t="s">
        <v>702</v>
      </c>
      <c r="C1" s="88" t="s">
        <v>701</v>
      </c>
      <c r="D1" t="s">
        <v>732</v>
      </c>
      <c r="E1" t="s">
        <v>735</v>
      </c>
      <c r="F1" t="s">
        <v>733</v>
      </c>
      <c r="G1" t="s">
        <v>734</v>
      </c>
      <c r="H1" s="98"/>
      <c r="I1" s="99" t="s">
        <v>818</v>
      </c>
      <c r="J1" s="56">
        <f>MATCH(I1,B:B,0)</f>
        <v>39</v>
      </c>
      <c r="K1" s="87" t="str">
        <f>TEXT(I1,"dd/mm/yyyy")</f>
        <v>20/01/2020</v>
      </c>
      <c r="L1" t="s">
        <v>717</v>
      </c>
      <c r="N1">
        <f>WEEKNUM(R1,2)</f>
        <v>40</v>
      </c>
      <c r="O1" s="69" t="s">
        <v>49</v>
      </c>
      <c r="P1" t="str">
        <f>_xlfn.IFNA(IF($O$1&lt;&gt;"",MATCH($O$1,S$1:$S19,0),""),"")</f>
        <v/>
      </c>
      <c r="Q1">
        <f>IF(WEEKDAY(R1,1)=1,"CN",CHOOSE(WEEKDAY(R1,1),1,2,3,4,5,6,7))</f>
        <v>2</v>
      </c>
      <c r="R1" s="82" t="s">
        <v>946</v>
      </c>
      <c r="S1" s="57"/>
      <c r="V1">
        <v>2</v>
      </c>
      <c r="Y1">
        <f>IF(WEEKDAY(Z1,1)=1,"CN",CHOOSE(WEEKDAY(Z1,1),1,2,3,4,5,6,7))</f>
        <v>2</v>
      </c>
      <c r="Z1" s="90" t="s">
        <v>946</v>
      </c>
      <c r="AA1" t="s">
        <v>766</v>
      </c>
      <c r="AB1" t="s">
        <v>767</v>
      </c>
      <c r="AC1" t="s">
        <v>768</v>
      </c>
    </row>
    <row r="2" spans="1:29">
      <c r="A2" s="89">
        <f>_xlfn.ISOWEEKNUM(B2)</f>
        <v>49</v>
      </c>
      <c r="B2" s="87">
        <v>43804</v>
      </c>
      <c r="C2" s="88">
        <f>WEEKDAY(B2)</f>
        <v>5</v>
      </c>
      <c r="D2" s="58" t="s">
        <v>704</v>
      </c>
      <c r="E2" t="s">
        <v>711</v>
      </c>
      <c r="F2" t="s">
        <v>712</v>
      </c>
      <c r="G2" t="s">
        <v>713</v>
      </c>
      <c r="H2" t="s">
        <v>736</v>
      </c>
      <c r="I2" t="s">
        <v>752</v>
      </c>
      <c r="J2" s="56" t="s">
        <v>753</v>
      </c>
      <c r="L2" s="79"/>
      <c r="P2" t="str">
        <f>_xlfn.IFNA(IF($O$1&lt;&gt;"",MATCH($O$1,$T$1:$T$19,0),""),"")</f>
        <v/>
      </c>
      <c r="S2" t="s">
        <v>55</v>
      </c>
      <c r="T2" t="s">
        <v>677</v>
      </c>
      <c r="U2" t="s">
        <v>36</v>
      </c>
      <c r="Y2">
        <f>IF(WEEKDAY(Z2,1)=1,"CN",CHOOSE(WEEKDAY(Z2,1),1,2,3,4,5,6,7))</f>
        <v>3</v>
      </c>
      <c r="Z2" s="90">
        <f>Z1+1</f>
        <v>44103</v>
      </c>
      <c r="AA2" t="s">
        <v>738</v>
      </c>
      <c r="AB2" t="s">
        <v>747</v>
      </c>
      <c r="AC2" t="s">
        <v>746</v>
      </c>
    </row>
    <row r="3" spans="1:29">
      <c r="A3" s="89">
        <f t="shared" ref="A3:A53" si="0">_xlfn.ISOWEEKNUM(B3)</f>
        <v>49</v>
      </c>
      <c r="B3" s="87">
        <v>43805</v>
      </c>
      <c r="C3" s="88">
        <f t="shared" ref="C3:C12" si="1">WEEKDAY(B3)</f>
        <v>6</v>
      </c>
      <c r="D3" s="58" t="s">
        <v>705</v>
      </c>
      <c r="E3" t="s">
        <v>714</v>
      </c>
      <c r="F3" t="s">
        <v>715</v>
      </c>
      <c r="G3" t="s">
        <v>716</v>
      </c>
      <c r="H3" t="s">
        <v>741</v>
      </c>
      <c r="I3" t="s">
        <v>742</v>
      </c>
      <c r="J3" s="56" t="s">
        <v>743</v>
      </c>
      <c r="L3" s="79"/>
      <c r="P3" t="str">
        <f>_xlfn.IFNA(IF($O$1&lt;&gt;"",MATCH($O$1,$U$1:$U$19,0),""),"")</f>
        <v/>
      </c>
      <c r="S3" t="s">
        <v>619</v>
      </c>
      <c r="T3" t="s">
        <v>678</v>
      </c>
      <c r="U3" t="s">
        <v>37</v>
      </c>
      <c r="Y3">
        <f t="shared" ref="Y3:Y8" si="2">IF(WEEKDAY(Z3,1)=1,"CN",CHOOSE(WEEKDAY(Z3,1),1,2,3,4,5,6,7))</f>
        <v>4</v>
      </c>
      <c r="Z3" s="90">
        <f t="shared" ref="Z3:Z7" si="3">Z2+1</f>
        <v>44104</v>
      </c>
      <c r="AA3" t="s">
        <v>738</v>
      </c>
      <c r="AB3" t="s">
        <v>742</v>
      </c>
      <c r="AC3" t="s">
        <v>746</v>
      </c>
    </row>
    <row r="4" spans="1:29">
      <c r="A4" s="89">
        <f t="shared" si="0"/>
        <v>49</v>
      </c>
      <c r="B4" s="87">
        <v>43806</v>
      </c>
      <c r="C4" s="88">
        <f t="shared" si="1"/>
        <v>7</v>
      </c>
      <c r="D4" s="58" t="s">
        <v>706</v>
      </c>
      <c r="E4" t="s">
        <v>717</v>
      </c>
      <c r="F4" t="s">
        <v>718</v>
      </c>
      <c r="G4" t="s">
        <v>719</v>
      </c>
      <c r="H4" t="s">
        <v>744</v>
      </c>
      <c r="I4" t="s">
        <v>745</v>
      </c>
      <c r="J4" s="56" t="s">
        <v>746</v>
      </c>
      <c r="L4" s="79"/>
      <c r="Y4">
        <f t="shared" si="2"/>
        <v>5</v>
      </c>
      <c r="Z4" s="90">
        <f t="shared" si="3"/>
        <v>44105</v>
      </c>
      <c r="AA4" t="s">
        <v>748</v>
      </c>
      <c r="AB4" t="s">
        <v>937</v>
      </c>
      <c r="AC4" t="s">
        <v>746</v>
      </c>
    </row>
    <row r="5" spans="1:29">
      <c r="A5" s="89">
        <f t="shared" si="0"/>
        <v>49</v>
      </c>
      <c r="B5" s="87">
        <v>43807</v>
      </c>
      <c r="C5" s="88">
        <f t="shared" si="1"/>
        <v>1</v>
      </c>
      <c r="D5" t="s">
        <v>707</v>
      </c>
      <c r="E5" t="s">
        <v>720</v>
      </c>
      <c r="F5" t="s">
        <v>721</v>
      </c>
      <c r="G5" t="s">
        <v>722</v>
      </c>
      <c r="H5" t="s">
        <v>738</v>
      </c>
      <c r="I5" t="s">
        <v>747</v>
      </c>
      <c r="J5" s="56" t="s">
        <v>743</v>
      </c>
      <c r="L5" s="79"/>
      <c r="S5" s="82"/>
      <c r="Y5">
        <f t="shared" si="2"/>
        <v>6</v>
      </c>
      <c r="Z5" s="90">
        <f t="shared" si="3"/>
        <v>44106</v>
      </c>
      <c r="AA5" t="s">
        <v>737</v>
      </c>
      <c r="AC5" t="s">
        <v>33</v>
      </c>
    </row>
    <row r="6" spans="1:29">
      <c r="A6" s="89">
        <f t="shared" si="0"/>
        <v>50</v>
      </c>
      <c r="B6" s="87">
        <v>43808</v>
      </c>
      <c r="C6" s="88">
        <f t="shared" si="1"/>
        <v>2</v>
      </c>
      <c r="D6" t="s">
        <v>708</v>
      </c>
      <c r="E6" t="s">
        <v>723</v>
      </c>
      <c r="F6" t="s">
        <v>724</v>
      </c>
      <c r="G6" t="s">
        <v>725</v>
      </c>
      <c r="H6" t="s">
        <v>748</v>
      </c>
      <c r="I6" t="s">
        <v>749</v>
      </c>
      <c r="J6" s="56" t="s">
        <v>33</v>
      </c>
      <c r="L6" s="79"/>
      <c r="Y6">
        <f t="shared" si="2"/>
        <v>7</v>
      </c>
      <c r="Z6" s="90">
        <f t="shared" si="3"/>
        <v>44107</v>
      </c>
      <c r="AA6" t="s">
        <v>750</v>
      </c>
    </row>
    <row r="7" spans="1:29">
      <c r="A7" s="89">
        <f t="shared" si="0"/>
        <v>50</v>
      </c>
      <c r="B7" s="87">
        <v>43809</v>
      </c>
      <c r="C7" s="88">
        <f t="shared" si="1"/>
        <v>3</v>
      </c>
      <c r="D7" t="s">
        <v>709</v>
      </c>
      <c r="E7" t="s">
        <v>726</v>
      </c>
      <c r="F7" t="s">
        <v>727</v>
      </c>
      <c r="G7" t="s">
        <v>728</v>
      </c>
      <c r="H7" t="s">
        <v>750</v>
      </c>
      <c r="I7" t="s">
        <v>742</v>
      </c>
      <c r="J7" s="56" t="s">
        <v>751</v>
      </c>
      <c r="L7" s="79"/>
      <c r="Y7" t="str">
        <f t="shared" si="2"/>
        <v>CN</v>
      </c>
      <c r="Z7" s="90">
        <f t="shared" si="3"/>
        <v>44108</v>
      </c>
      <c r="AA7" t="s">
        <v>750</v>
      </c>
    </row>
    <row r="8" spans="1:29">
      <c r="A8" s="89">
        <f t="shared" si="0"/>
        <v>50</v>
      </c>
      <c r="B8" s="87">
        <v>43810</v>
      </c>
      <c r="C8" s="88">
        <f t="shared" si="1"/>
        <v>4</v>
      </c>
      <c r="D8" t="s">
        <v>710</v>
      </c>
      <c r="E8" t="s">
        <v>729</v>
      </c>
      <c r="F8" t="s">
        <v>730</v>
      </c>
      <c r="G8" t="s">
        <v>731</v>
      </c>
      <c r="H8" t="s">
        <v>737</v>
      </c>
      <c r="I8" t="s">
        <v>738</v>
      </c>
      <c r="J8" s="56" t="s">
        <v>739</v>
      </c>
      <c r="Y8">
        <f t="shared" si="2"/>
        <v>2</v>
      </c>
      <c r="Z8" s="90">
        <f t="shared" ref="Z8" si="4">Z7+1</f>
        <v>44109</v>
      </c>
    </row>
    <row r="9" spans="1:29">
      <c r="A9" s="89">
        <f t="shared" si="0"/>
        <v>50</v>
      </c>
      <c r="B9" s="87">
        <v>43811</v>
      </c>
      <c r="C9" s="88">
        <f t="shared" si="1"/>
        <v>5</v>
      </c>
      <c r="D9" t="s">
        <v>754</v>
      </c>
      <c r="E9" t="s">
        <v>755</v>
      </c>
      <c r="F9" t="s">
        <v>756</v>
      </c>
      <c r="G9" t="s">
        <v>757</v>
      </c>
      <c r="H9" t="s">
        <v>741</v>
      </c>
      <c r="I9" t="s">
        <v>742</v>
      </c>
      <c r="J9" s="56" t="s">
        <v>743</v>
      </c>
      <c r="U9" s="71"/>
    </row>
    <row r="10" spans="1:29">
      <c r="A10" s="89">
        <f t="shared" si="0"/>
        <v>50</v>
      </c>
      <c r="B10" s="87">
        <v>43812</v>
      </c>
      <c r="C10" s="88">
        <f t="shared" si="1"/>
        <v>6</v>
      </c>
      <c r="D10" t="s">
        <v>758</v>
      </c>
      <c r="E10" t="s">
        <v>759</v>
      </c>
      <c r="F10" t="s">
        <v>760</v>
      </c>
      <c r="G10" t="s">
        <v>761</v>
      </c>
      <c r="H10" t="s">
        <v>744</v>
      </c>
      <c r="I10" t="s">
        <v>745</v>
      </c>
      <c r="J10" s="56" t="s">
        <v>746</v>
      </c>
      <c r="U10" s="71"/>
    </row>
    <row r="11" spans="1:29">
      <c r="A11" s="89">
        <f t="shared" si="0"/>
        <v>50</v>
      </c>
      <c r="B11" s="87">
        <v>43813</v>
      </c>
      <c r="C11" s="88">
        <f t="shared" si="1"/>
        <v>7</v>
      </c>
      <c r="D11" t="s">
        <v>762</v>
      </c>
      <c r="E11" t="s">
        <v>763</v>
      </c>
      <c r="F11" t="s">
        <v>764</v>
      </c>
      <c r="G11" t="s">
        <v>765</v>
      </c>
      <c r="H11" t="s">
        <v>738</v>
      </c>
      <c r="I11" t="s">
        <v>747</v>
      </c>
      <c r="J11" s="56" t="s">
        <v>743</v>
      </c>
      <c r="T11" s="72"/>
      <c r="U11" s="71"/>
    </row>
    <row r="12" spans="1:29">
      <c r="A12" s="89">
        <f t="shared" si="0"/>
        <v>50</v>
      </c>
      <c r="B12" s="87">
        <v>43814</v>
      </c>
      <c r="C12" s="88">
        <f t="shared" si="1"/>
        <v>1</v>
      </c>
      <c r="D12" t="s">
        <v>707</v>
      </c>
      <c r="E12" t="s">
        <v>720</v>
      </c>
      <c r="F12" t="s">
        <v>721</v>
      </c>
      <c r="G12" t="s">
        <v>722</v>
      </c>
      <c r="H12" t="s">
        <v>748</v>
      </c>
      <c r="I12" t="s">
        <v>749</v>
      </c>
      <c r="J12" s="56" t="s">
        <v>33</v>
      </c>
      <c r="T12" s="72"/>
      <c r="U12" s="71"/>
    </row>
    <row r="13" spans="1:29">
      <c r="A13" s="89">
        <f t="shared" si="0"/>
        <v>49</v>
      </c>
      <c r="B13" s="87">
        <v>43805</v>
      </c>
      <c r="C13" s="88">
        <v>5</v>
      </c>
      <c r="D13" t="s">
        <v>705</v>
      </c>
      <c r="E13" t="s">
        <v>714</v>
      </c>
      <c r="F13" t="s">
        <v>715</v>
      </c>
      <c r="G13" t="s">
        <v>716</v>
      </c>
      <c r="H13" t="s">
        <v>769</v>
      </c>
      <c r="I13" t="s">
        <v>770</v>
      </c>
      <c r="J13" s="56" t="s">
        <v>771</v>
      </c>
      <c r="T13" s="72"/>
      <c r="U13" s="71"/>
    </row>
    <row r="14" spans="1:29">
      <c r="A14" s="89">
        <f t="shared" si="0"/>
        <v>49</v>
      </c>
      <c r="B14" s="87">
        <v>43806</v>
      </c>
      <c r="C14" s="88">
        <v>6</v>
      </c>
      <c r="D14" t="s">
        <v>706</v>
      </c>
      <c r="E14" t="s">
        <v>717</v>
      </c>
      <c r="F14" t="s">
        <v>718</v>
      </c>
      <c r="G14" t="s">
        <v>719</v>
      </c>
      <c r="H14" t="s">
        <v>744</v>
      </c>
      <c r="I14" t="s">
        <v>745</v>
      </c>
      <c r="J14" s="56" t="s">
        <v>746</v>
      </c>
      <c r="T14" s="72"/>
      <c r="U14" s="71"/>
    </row>
    <row r="15" spans="1:29">
      <c r="A15" s="89">
        <f t="shared" si="0"/>
        <v>49</v>
      </c>
      <c r="B15" s="87">
        <v>43807</v>
      </c>
      <c r="C15" s="88">
        <v>7</v>
      </c>
      <c r="D15" t="s">
        <v>707</v>
      </c>
      <c r="E15" t="s">
        <v>720</v>
      </c>
      <c r="F15" t="s">
        <v>721</v>
      </c>
      <c r="G15" t="s">
        <v>722</v>
      </c>
      <c r="H15" t="s">
        <v>748</v>
      </c>
      <c r="I15" t="s">
        <v>749</v>
      </c>
      <c r="J15" s="56" t="s">
        <v>33</v>
      </c>
      <c r="T15" s="72"/>
      <c r="U15" s="71"/>
    </row>
    <row r="16" spans="1:29">
      <c r="A16" s="89">
        <f t="shared" si="0"/>
        <v>50</v>
      </c>
      <c r="B16" s="87">
        <v>43808</v>
      </c>
      <c r="C16" s="88" t="s">
        <v>703</v>
      </c>
      <c r="D16" t="s">
        <v>708</v>
      </c>
      <c r="E16" t="s">
        <v>723</v>
      </c>
      <c r="F16" t="s">
        <v>724</v>
      </c>
      <c r="G16" t="s">
        <v>725</v>
      </c>
      <c r="H16" t="s">
        <v>737</v>
      </c>
      <c r="I16" t="s">
        <v>738</v>
      </c>
      <c r="J16" s="56" t="s">
        <v>739</v>
      </c>
      <c r="T16" s="72"/>
      <c r="U16" s="71"/>
    </row>
    <row r="17" spans="1:22">
      <c r="A17" s="89">
        <f t="shared" si="0"/>
        <v>50</v>
      </c>
      <c r="B17" s="87">
        <v>43809</v>
      </c>
      <c r="C17" s="88">
        <v>2</v>
      </c>
      <c r="D17" t="s">
        <v>709</v>
      </c>
      <c r="E17" t="s">
        <v>726</v>
      </c>
      <c r="F17" t="s">
        <v>727</v>
      </c>
      <c r="G17" t="s">
        <v>728</v>
      </c>
      <c r="H17" t="s">
        <v>744</v>
      </c>
      <c r="I17" t="s">
        <v>745</v>
      </c>
      <c r="J17" s="56" t="s">
        <v>746</v>
      </c>
      <c r="T17" s="72"/>
      <c r="U17" s="71"/>
    </row>
    <row r="18" spans="1:22">
      <c r="A18" s="89">
        <f t="shared" si="0"/>
        <v>50</v>
      </c>
      <c r="B18" s="87">
        <v>43810</v>
      </c>
      <c r="C18" s="88">
        <v>3</v>
      </c>
      <c r="D18" t="s">
        <v>710</v>
      </c>
      <c r="E18" t="s">
        <v>729</v>
      </c>
      <c r="F18" t="s">
        <v>730</v>
      </c>
      <c r="G18" t="s">
        <v>731</v>
      </c>
      <c r="H18" t="s">
        <v>772</v>
      </c>
      <c r="I18" s="90" t="s">
        <v>773</v>
      </c>
      <c r="J18" s="56" t="s">
        <v>774</v>
      </c>
      <c r="T18" s="72"/>
      <c r="U18" s="71"/>
    </row>
    <row r="19" spans="1:22">
      <c r="A19" s="89">
        <f t="shared" si="0"/>
        <v>50</v>
      </c>
      <c r="B19" s="87">
        <v>43811</v>
      </c>
      <c r="C19" s="88">
        <v>4</v>
      </c>
      <c r="D19" t="s">
        <v>754</v>
      </c>
      <c r="E19" t="s">
        <v>755</v>
      </c>
      <c r="F19" t="s">
        <v>756</v>
      </c>
      <c r="G19" t="s">
        <v>757</v>
      </c>
      <c r="H19" t="s">
        <v>738</v>
      </c>
      <c r="I19" s="90" t="s">
        <v>747</v>
      </c>
      <c r="J19" s="56" t="s">
        <v>743</v>
      </c>
      <c r="S19" s="76"/>
      <c r="T19" s="72"/>
      <c r="U19" s="71"/>
    </row>
    <row r="20" spans="1:22" s="81" customFormat="1">
      <c r="A20" s="89">
        <f t="shared" si="0"/>
        <v>49</v>
      </c>
      <c r="B20" s="92">
        <v>43805</v>
      </c>
      <c r="C20" s="93">
        <v>5</v>
      </c>
      <c r="D20" s="81" t="s">
        <v>705</v>
      </c>
      <c r="E20" s="81" t="s">
        <v>714</v>
      </c>
      <c r="F20" s="81" t="s">
        <v>715</v>
      </c>
      <c r="G20" s="81" t="s">
        <v>716</v>
      </c>
      <c r="H20" s="81" t="s">
        <v>750</v>
      </c>
      <c r="I20" s="94" t="s">
        <v>742</v>
      </c>
      <c r="J20" s="95" t="s">
        <v>751</v>
      </c>
      <c r="M20" s="80"/>
      <c r="N20" s="81">
        <f>WEEKNUM(R20,2)</f>
        <v>5</v>
      </c>
      <c r="O20" s="81" t="s">
        <v>740</v>
      </c>
      <c r="P20" s="81" t="str">
        <f>_xlfn.IFNA(IF($O$20&lt;&gt;"",MATCH($O$20,S$20:$S39,0)+19,""),"")</f>
        <v/>
      </c>
      <c r="Q20" s="81">
        <f>IF(WEEKDAY(R20,1)=1,"CN",CHOOSE(WEEKDAY(R20,1),1,2,3,4,5,6,7))</f>
        <v>3</v>
      </c>
      <c r="R20" s="84">
        <v>43858</v>
      </c>
      <c r="S20" s="84" t="s">
        <v>766</v>
      </c>
      <c r="T20" s="81" t="s">
        <v>767</v>
      </c>
      <c r="U20" s="81" t="s">
        <v>853</v>
      </c>
      <c r="V20" s="81">
        <v>3</v>
      </c>
    </row>
    <row r="21" spans="1:22">
      <c r="A21" s="89">
        <f t="shared" si="0"/>
        <v>49</v>
      </c>
      <c r="B21" s="87">
        <v>43806</v>
      </c>
      <c r="C21" s="88">
        <v>6</v>
      </c>
      <c r="D21" t="s">
        <v>706</v>
      </c>
      <c r="E21" t="s">
        <v>717</v>
      </c>
      <c r="F21" t="s">
        <v>718</v>
      </c>
      <c r="G21" t="s">
        <v>719</v>
      </c>
      <c r="H21" t="s">
        <v>741</v>
      </c>
      <c r="I21" s="90" t="s">
        <v>742</v>
      </c>
      <c r="J21" s="56" t="s">
        <v>743</v>
      </c>
      <c r="P21" t="str">
        <f>_xlfn.IFNA(IF($O$20&lt;&gt;"",MATCH($O$20,$T$20:$T$39,0)+19,""),"")</f>
        <v/>
      </c>
    </row>
    <row r="22" spans="1:22">
      <c r="A22" s="89">
        <f t="shared" si="0"/>
        <v>49</v>
      </c>
      <c r="B22" s="87">
        <v>43807</v>
      </c>
      <c r="C22" s="88">
        <v>7</v>
      </c>
      <c r="D22" t="s">
        <v>707</v>
      </c>
      <c r="E22" t="s">
        <v>720</v>
      </c>
      <c r="F22" t="s">
        <v>721</v>
      </c>
      <c r="G22" t="s">
        <v>722</v>
      </c>
      <c r="H22" t="s">
        <v>748</v>
      </c>
      <c r="I22" s="90" t="s">
        <v>749</v>
      </c>
      <c r="J22" s="56" t="s">
        <v>33</v>
      </c>
      <c r="P22" t="str">
        <f>_xlfn.IFNA(IF($O$20&lt;&gt;"",MATCH($O$20,$U$20:$U$39,0)+19,""),"")</f>
        <v/>
      </c>
      <c r="S22" t="s">
        <v>619</v>
      </c>
      <c r="T22" t="s">
        <v>48</v>
      </c>
      <c r="U22" t="s">
        <v>37</v>
      </c>
    </row>
    <row r="23" spans="1:22">
      <c r="A23" s="89">
        <f t="shared" si="0"/>
        <v>50</v>
      </c>
      <c r="B23" s="87">
        <v>43808</v>
      </c>
      <c r="C23" s="88" t="s">
        <v>703</v>
      </c>
      <c r="D23" t="s">
        <v>708</v>
      </c>
      <c r="E23" t="s">
        <v>723</v>
      </c>
      <c r="F23" t="s">
        <v>724</v>
      </c>
      <c r="G23" t="s">
        <v>725</v>
      </c>
      <c r="H23" t="s">
        <v>744</v>
      </c>
      <c r="I23" s="90" t="s">
        <v>745</v>
      </c>
      <c r="J23" s="56" t="s">
        <v>746</v>
      </c>
    </row>
    <row r="24" spans="1:22">
      <c r="A24" s="89">
        <f t="shared" si="0"/>
        <v>50</v>
      </c>
      <c r="B24" s="87">
        <v>43809</v>
      </c>
      <c r="C24" s="88">
        <v>2</v>
      </c>
      <c r="D24" t="s">
        <v>709</v>
      </c>
      <c r="E24" t="s">
        <v>726</v>
      </c>
      <c r="F24" t="s">
        <v>727</v>
      </c>
      <c r="G24" t="s">
        <v>728</v>
      </c>
      <c r="H24" t="s">
        <v>772</v>
      </c>
      <c r="I24" s="90" t="s">
        <v>773</v>
      </c>
      <c r="J24" s="56" t="s">
        <v>774</v>
      </c>
    </row>
    <row r="25" spans="1:22">
      <c r="A25" s="89">
        <f t="shared" si="0"/>
        <v>50</v>
      </c>
      <c r="B25" s="87">
        <v>43810</v>
      </c>
      <c r="C25" s="88">
        <v>3</v>
      </c>
      <c r="D25" t="s">
        <v>710</v>
      </c>
      <c r="E25" t="s">
        <v>729</v>
      </c>
      <c r="F25" t="s">
        <v>730</v>
      </c>
      <c r="G25" t="s">
        <v>731</v>
      </c>
      <c r="H25" t="s">
        <v>738</v>
      </c>
      <c r="I25" s="90" t="s">
        <v>747</v>
      </c>
      <c r="J25" s="56" t="s">
        <v>743</v>
      </c>
    </row>
    <row r="26" spans="1:22">
      <c r="A26" s="89">
        <f t="shared" si="0"/>
        <v>50</v>
      </c>
      <c r="B26" s="87">
        <v>43811</v>
      </c>
      <c r="C26" s="88">
        <v>5</v>
      </c>
      <c r="D26" t="s">
        <v>796</v>
      </c>
      <c r="E26" t="s">
        <v>797</v>
      </c>
      <c r="F26" t="s">
        <v>798</v>
      </c>
      <c r="G26" t="s">
        <v>799</v>
      </c>
      <c r="H26" t="s">
        <v>750</v>
      </c>
      <c r="I26" s="90" t="s">
        <v>742</v>
      </c>
      <c r="J26" s="56" t="s">
        <v>751</v>
      </c>
    </row>
    <row r="27" spans="1:22">
      <c r="A27" s="89">
        <f t="shared" si="0"/>
        <v>2</v>
      </c>
      <c r="B27" s="87" t="s">
        <v>775</v>
      </c>
      <c r="C27" s="88" t="s">
        <v>703</v>
      </c>
      <c r="D27" t="s">
        <v>780</v>
      </c>
      <c r="E27" t="s">
        <v>781</v>
      </c>
      <c r="F27" t="s">
        <v>782</v>
      </c>
      <c r="G27" t="s">
        <v>783</v>
      </c>
      <c r="H27" t="s">
        <v>772</v>
      </c>
      <c r="I27" s="90" t="s">
        <v>773</v>
      </c>
      <c r="J27" s="56" t="s">
        <v>774</v>
      </c>
    </row>
    <row r="28" spans="1:22">
      <c r="A28" s="89">
        <f t="shared" si="0"/>
        <v>2</v>
      </c>
      <c r="B28" s="87" t="s">
        <v>776</v>
      </c>
      <c r="C28" s="88">
        <v>2</v>
      </c>
      <c r="D28" t="s">
        <v>784</v>
      </c>
      <c r="E28" t="s">
        <v>785</v>
      </c>
      <c r="F28" t="s">
        <v>786</v>
      </c>
      <c r="G28" t="s">
        <v>787</v>
      </c>
      <c r="H28" t="s">
        <v>738</v>
      </c>
      <c r="I28" s="90" t="s">
        <v>747</v>
      </c>
      <c r="J28" s="56" t="s">
        <v>743</v>
      </c>
      <c r="T28" s="74"/>
      <c r="U28" s="70"/>
    </row>
    <row r="29" spans="1:22">
      <c r="A29" s="89">
        <f t="shared" si="0"/>
        <v>2</v>
      </c>
      <c r="B29" s="87" t="s">
        <v>777</v>
      </c>
      <c r="C29" s="88">
        <v>3</v>
      </c>
      <c r="D29" t="s">
        <v>788</v>
      </c>
      <c r="E29" t="s">
        <v>789</v>
      </c>
      <c r="F29" t="s">
        <v>790</v>
      </c>
      <c r="G29" t="s">
        <v>791</v>
      </c>
      <c r="H29" t="s">
        <v>750</v>
      </c>
      <c r="I29" s="90" t="s">
        <v>742</v>
      </c>
      <c r="J29" s="56" t="s">
        <v>751</v>
      </c>
      <c r="T29" s="74"/>
      <c r="U29" s="70"/>
    </row>
    <row r="30" spans="1:22">
      <c r="A30" s="89">
        <f t="shared" si="0"/>
        <v>2</v>
      </c>
      <c r="B30" s="87" t="s">
        <v>778</v>
      </c>
      <c r="C30" s="88">
        <v>4</v>
      </c>
      <c r="D30" t="s">
        <v>792</v>
      </c>
      <c r="E30" t="s">
        <v>793</v>
      </c>
      <c r="F30" t="s">
        <v>794</v>
      </c>
      <c r="G30" t="s">
        <v>795</v>
      </c>
      <c r="H30" t="s">
        <v>737</v>
      </c>
      <c r="I30" s="90" t="s">
        <v>738</v>
      </c>
      <c r="J30" s="56" t="s">
        <v>739</v>
      </c>
      <c r="T30" s="74"/>
      <c r="U30" s="70"/>
    </row>
    <row r="31" spans="1:22">
      <c r="A31" s="89">
        <f t="shared" si="0"/>
        <v>2</v>
      </c>
      <c r="B31" s="87" t="s">
        <v>779</v>
      </c>
      <c r="C31" s="88">
        <v>5</v>
      </c>
      <c r="D31" t="s">
        <v>796</v>
      </c>
      <c r="E31" t="s">
        <v>797</v>
      </c>
      <c r="F31" t="s">
        <v>798</v>
      </c>
      <c r="G31" t="s">
        <v>799</v>
      </c>
      <c r="H31" t="s">
        <v>744</v>
      </c>
      <c r="I31" s="90" t="s">
        <v>745</v>
      </c>
      <c r="J31" s="56" t="s">
        <v>746</v>
      </c>
      <c r="T31" s="74"/>
      <c r="U31" s="70"/>
    </row>
    <row r="32" spans="1:22">
      <c r="A32" s="89">
        <f t="shared" si="0"/>
        <v>2</v>
      </c>
      <c r="B32" s="87" t="s">
        <v>800</v>
      </c>
      <c r="C32" s="88">
        <v>6</v>
      </c>
      <c r="D32" t="s">
        <v>802</v>
      </c>
      <c r="E32" t="s">
        <v>803</v>
      </c>
      <c r="F32" t="s">
        <v>804</v>
      </c>
      <c r="G32" t="s">
        <v>805</v>
      </c>
      <c r="H32" t="s">
        <v>738</v>
      </c>
      <c r="I32" s="90" t="s">
        <v>747</v>
      </c>
      <c r="J32" s="56" t="s">
        <v>743</v>
      </c>
      <c r="T32" s="74"/>
      <c r="U32" s="70"/>
    </row>
    <row r="33" spans="1:22">
      <c r="A33" s="89">
        <f t="shared" si="0"/>
        <v>2</v>
      </c>
      <c r="B33" s="87" t="s">
        <v>801</v>
      </c>
      <c r="C33" s="88">
        <v>7</v>
      </c>
      <c r="D33" t="s">
        <v>806</v>
      </c>
      <c r="E33" t="s">
        <v>807</v>
      </c>
      <c r="F33" t="s">
        <v>808</v>
      </c>
      <c r="G33" t="s">
        <v>809</v>
      </c>
      <c r="H33" t="s">
        <v>810</v>
      </c>
      <c r="I33" s="90" t="s">
        <v>811</v>
      </c>
      <c r="J33" s="56" t="s">
        <v>812</v>
      </c>
      <c r="S33" s="75"/>
      <c r="T33" s="74"/>
      <c r="U33" s="70"/>
    </row>
    <row r="34" spans="1:22">
      <c r="A34" s="89">
        <f t="shared" si="0"/>
        <v>3</v>
      </c>
      <c r="B34" s="87" t="s">
        <v>813</v>
      </c>
      <c r="C34" s="88">
        <v>3</v>
      </c>
      <c r="D34" t="s">
        <v>820</v>
      </c>
      <c r="E34" t="s">
        <v>821</v>
      </c>
      <c r="F34" t="s">
        <v>822</v>
      </c>
      <c r="G34" t="s">
        <v>823</v>
      </c>
      <c r="H34" t="s">
        <v>772</v>
      </c>
      <c r="I34" s="90" t="s">
        <v>773</v>
      </c>
      <c r="J34" s="56" t="s">
        <v>774</v>
      </c>
      <c r="S34" s="75"/>
      <c r="T34" s="74"/>
      <c r="U34" s="70"/>
    </row>
    <row r="35" spans="1:22">
      <c r="A35" s="89">
        <f t="shared" si="0"/>
        <v>3</v>
      </c>
      <c r="B35" s="87" t="s">
        <v>814</v>
      </c>
      <c r="C35" s="88">
        <v>4</v>
      </c>
      <c r="D35" t="s">
        <v>824</v>
      </c>
      <c r="E35" t="s">
        <v>825</v>
      </c>
      <c r="F35" t="s">
        <v>826</v>
      </c>
      <c r="G35" t="s">
        <v>827</v>
      </c>
      <c r="H35" t="s">
        <v>744</v>
      </c>
      <c r="I35" s="90" t="s">
        <v>745</v>
      </c>
      <c r="J35" s="56" t="s">
        <v>746</v>
      </c>
      <c r="S35" s="75"/>
      <c r="T35" s="74"/>
      <c r="U35" s="70"/>
    </row>
    <row r="36" spans="1:22">
      <c r="A36" s="89">
        <f t="shared" si="0"/>
        <v>3</v>
      </c>
      <c r="B36" s="87" t="s">
        <v>815</v>
      </c>
      <c r="C36" s="88">
        <v>5</v>
      </c>
      <c r="D36" t="s">
        <v>828</v>
      </c>
      <c r="E36" t="s">
        <v>829</v>
      </c>
      <c r="F36" t="s">
        <v>830</v>
      </c>
      <c r="G36" t="s">
        <v>831</v>
      </c>
      <c r="H36" t="s">
        <v>738</v>
      </c>
      <c r="I36" s="90" t="s">
        <v>747</v>
      </c>
      <c r="J36" s="56" t="s">
        <v>743</v>
      </c>
      <c r="S36" s="75"/>
      <c r="T36" s="74"/>
      <c r="U36" s="70"/>
    </row>
    <row r="37" spans="1:22">
      <c r="A37" s="89">
        <f t="shared" si="0"/>
        <v>3</v>
      </c>
      <c r="B37" s="87" t="s">
        <v>816</v>
      </c>
      <c r="C37" s="88">
        <v>6</v>
      </c>
      <c r="D37" t="s">
        <v>832</v>
      </c>
      <c r="E37" t="s">
        <v>833</v>
      </c>
      <c r="F37" t="s">
        <v>834</v>
      </c>
      <c r="G37" t="s">
        <v>835</v>
      </c>
      <c r="H37" t="s">
        <v>750</v>
      </c>
      <c r="I37" s="90" t="s">
        <v>742</v>
      </c>
      <c r="J37" s="56" t="s">
        <v>751</v>
      </c>
      <c r="S37" s="75"/>
      <c r="T37" s="74"/>
      <c r="U37" s="70"/>
    </row>
    <row r="38" spans="1:22">
      <c r="A38" s="89">
        <f t="shared" si="0"/>
        <v>3</v>
      </c>
      <c r="B38" s="87" t="s">
        <v>817</v>
      </c>
      <c r="C38" s="88">
        <v>7</v>
      </c>
      <c r="D38" t="s">
        <v>836</v>
      </c>
      <c r="E38" t="s">
        <v>837</v>
      </c>
      <c r="F38" t="s">
        <v>838</v>
      </c>
      <c r="G38" t="s">
        <v>839</v>
      </c>
      <c r="H38" t="s">
        <v>744</v>
      </c>
      <c r="I38" s="90" t="s">
        <v>745</v>
      </c>
      <c r="J38" s="56" t="s">
        <v>746</v>
      </c>
      <c r="S38" s="75"/>
      <c r="T38" s="74"/>
      <c r="U38" s="70"/>
    </row>
    <row r="39" spans="1:22">
      <c r="A39" s="89">
        <f t="shared" si="0"/>
        <v>4</v>
      </c>
      <c r="B39" s="87" t="s">
        <v>818</v>
      </c>
      <c r="C39" s="88" t="s">
        <v>703</v>
      </c>
      <c r="D39" t="s">
        <v>840</v>
      </c>
      <c r="E39" t="s">
        <v>841</v>
      </c>
      <c r="F39" t="s">
        <v>842</v>
      </c>
      <c r="G39" t="s">
        <v>843</v>
      </c>
      <c r="H39" t="s">
        <v>748</v>
      </c>
      <c r="I39" s="90" t="s">
        <v>749</v>
      </c>
      <c r="J39" s="56" t="s">
        <v>33</v>
      </c>
      <c r="S39" s="75"/>
      <c r="T39" s="74"/>
      <c r="U39" s="70"/>
    </row>
    <row r="40" spans="1:22" s="81" customFormat="1">
      <c r="A40" s="89">
        <f t="shared" si="0"/>
        <v>4</v>
      </c>
      <c r="B40" s="92" t="s">
        <v>819</v>
      </c>
      <c r="C40" s="93">
        <v>2</v>
      </c>
      <c r="D40" s="81" t="s">
        <v>844</v>
      </c>
      <c r="E40" s="81" t="s">
        <v>845</v>
      </c>
      <c r="F40" s="81" t="s">
        <v>846</v>
      </c>
      <c r="G40" s="81" t="s">
        <v>847</v>
      </c>
      <c r="H40" s="81" t="s">
        <v>848</v>
      </c>
      <c r="I40" s="94" t="s">
        <v>849</v>
      </c>
      <c r="J40" s="95" t="s">
        <v>850</v>
      </c>
      <c r="M40" s="80"/>
      <c r="N40" s="81">
        <f>WEEKNUM(R40,2)</f>
        <v>5</v>
      </c>
      <c r="O40" s="81" t="s">
        <v>669</v>
      </c>
      <c r="P40" s="81" t="str">
        <f>_xlfn.IFNA(IF($O$40&lt;&gt;"",MATCH($O$40,S$40:$S59,0)+39,""),"")</f>
        <v/>
      </c>
      <c r="Q40" s="81">
        <f>IF(WEEKDAY(R40,1)=1,"CN",CHOOSE(WEEKDAY(R40,1),1,2,3,4,5,6,7))</f>
        <v>4</v>
      </c>
      <c r="R40" s="84">
        <v>43859</v>
      </c>
      <c r="S40" s="84" t="s">
        <v>766</v>
      </c>
      <c r="T40" s="81" t="s">
        <v>767</v>
      </c>
      <c r="U40" s="81" t="s">
        <v>853</v>
      </c>
      <c r="V40" s="81">
        <v>4</v>
      </c>
    </row>
    <row r="41" spans="1:22">
      <c r="A41" s="89">
        <f t="shared" si="0"/>
        <v>3</v>
      </c>
      <c r="B41" s="87" t="s">
        <v>814</v>
      </c>
      <c r="C41" s="88">
        <v>4</v>
      </c>
      <c r="D41" t="s">
        <v>824</v>
      </c>
      <c r="E41" t="s">
        <v>825</v>
      </c>
      <c r="F41" t="s">
        <v>826</v>
      </c>
      <c r="G41" t="s">
        <v>827</v>
      </c>
      <c r="H41" t="s">
        <v>738</v>
      </c>
      <c r="I41" s="90" t="s">
        <v>747</v>
      </c>
      <c r="J41" s="56" t="s">
        <v>743</v>
      </c>
      <c r="P41" t="str">
        <f>_xlfn.IFNA(IF($O$40&lt;&gt;"",MATCH($O$40,$T$40:$T$59,0)+39,""),"")</f>
        <v/>
      </c>
    </row>
    <row r="42" spans="1:22">
      <c r="A42" s="89">
        <f t="shared" si="0"/>
        <v>3</v>
      </c>
      <c r="B42" s="87" t="s">
        <v>815</v>
      </c>
      <c r="C42" s="88">
        <v>5</v>
      </c>
      <c r="D42" t="s">
        <v>828</v>
      </c>
      <c r="E42" t="s">
        <v>829</v>
      </c>
      <c r="F42" t="s">
        <v>830</v>
      </c>
      <c r="G42" t="s">
        <v>831</v>
      </c>
      <c r="H42" t="s">
        <v>769</v>
      </c>
      <c r="I42" s="90" t="s">
        <v>770</v>
      </c>
      <c r="J42" s="56" t="s">
        <v>771</v>
      </c>
      <c r="P42" t="str">
        <f>_xlfn.IFNA(IF($O$40&lt;&gt;"",MATCH($O$40,$U$40:$U$59,0)+39,""),"")</f>
        <v/>
      </c>
      <c r="S42" t="s">
        <v>55</v>
      </c>
      <c r="T42" t="s">
        <v>767</v>
      </c>
      <c r="U42" t="s">
        <v>37</v>
      </c>
    </row>
    <row r="43" spans="1:22">
      <c r="A43" s="89">
        <f t="shared" si="0"/>
        <v>3</v>
      </c>
      <c r="B43" s="87" t="s">
        <v>816</v>
      </c>
      <c r="C43" s="88">
        <v>6</v>
      </c>
      <c r="D43" t="s">
        <v>832</v>
      </c>
      <c r="E43" t="s">
        <v>833</v>
      </c>
      <c r="F43" t="s">
        <v>834</v>
      </c>
      <c r="G43" t="s">
        <v>835</v>
      </c>
      <c r="H43" t="s">
        <v>744</v>
      </c>
      <c r="I43" s="90" t="s">
        <v>745</v>
      </c>
      <c r="J43" s="56" t="s">
        <v>746</v>
      </c>
      <c r="T43" t="s">
        <v>619</v>
      </c>
    </row>
    <row r="44" spans="1:22">
      <c r="A44" s="89">
        <f t="shared" si="0"/>
        <v>3</v>
      </c>
      <c r="B44" s="87" t="s">
        <v>817</v>
      </c>
      <c r="C44" s="88">
        <v>7</v>
      </c>
      <c r="D44" t="s">
        <v>836</v>
      </c>
      <c r="E44" t="s">
        <v>837</v>
      </c>
      <c r="F44" t="s">
        <v>838</v>
      </c>
      <c r="G44" t="s">
        <v>839</v>
      </c>
      <c r="H44" t="s">
        <v>741</v>
      </c>
      <c r="I44" s="90" t="s">
        <v>742</v>
      </c>
      <c r="J44" s="56" t="s">
        <v>743</v>
      </c>
      <c r="T44" t="s">
        <v>48</v>
      </c>
    </row>
    <row r="45" spans="1:22">
      <c r="A45" s="89">
        <f t="shared" si="0"/>
        <v>4</v>
      </c>
      <c r="B45" s="87" t="s">
        <v>818</v>
      </c>
      <c r="C45" s="88" t="s">
        <v>703</v>
      </c>
      <c r="D45" t="s">
        <v>840</v>
      </c>
      <c r="E45" t="s">
        <v>841</v>
      </c>
      <c r="F45" t="s">
        <v>842</v>
      </c>
      <c r="G45" t="s">
        <v>843</v>
      </c>
      <c r="H45" t="s">
        <v>744</v>
      </c>
      <c r="I45" s="90" t="s">
        <v>745</v>
      </c>
      <c r="J45" s="56" t="s">
        <v>746</v>
      </c>
      <c r="T45" t="s">
        <v>767</v>
      </c>
    </row>
    <row r="46" spans="1:22">
      <c r="A46" s="89">
        <f t="shared" si="0"/>
        <v>4</v>
      </c>
      <c r="B46" s="87" t="s">
        <v>819</v>
      </c>
      <c r="C46" s="88">
        <v>2</v>
      </c>
      <c r="D46" t="s">
        <v>844</v>
      </c>
      <c r="E46" t="s">
        <v>845</v>
      </c>
      <c r="F46" t="s">
        <v>846</v>
      </c>
      <c r="G46" t="s">
        <v>847</v>
      </c>
      <c r="H46" t="s">
        <v>848</v>
      </c>
      <c r="I46" s="90"/>
      <c r="T46" t="s">
        <v>767</v>
      </c>
    </row>
    <row r="47" spans="1:22">
      <c r="A47" s="89">
        <f t="shared" si="0"/>
        <v>2</v>
      </c>
      <c r="B47" s="87" t="s">
        <v>800</v>
      </c>
      <c r="C47" s="88">
        <v>6</v>
      </c>
      <c r="D47" t="s">
        <v>854</v>
      </c>
      <c r="E47" t="s">
        <v>855</v>
      </c>
      <c r="F47" t="s">
        <v>856</v>
      </c>
      <c r="G47" t="s">
        <v>857</v>
      </c>
      <c r="I47" s="90"/>
    </row>
    <row r="48" spans="1:22">
      <c r="A48" s="89">
        <f t="shared" si="0"/>
        <v>2</v>
      </c>
      <c r="B48" s="87">
        <v>43842</v>
      </c>
      <c r="C48" s="88">
        <v>7</v>
      </c>
      <c r="D48" t="s">
        <v>858</v>
      </c>
      <c r="E48" t="s">
        <v>859</v>
      </c>
      <c r="F48" t="s">
        <v>860</v>
      </c>
      <c r="G48" t="s">
        <v>861</v>
      </c>
      <c r="I48" s="90"/>
    </row>
    <row r="49" spans="1:22">
      <c r="A49" s="89">
        <f t="shared" si="0"/>
        <v>3</v>
      </c>
      <c r="B49" s="87">
        <v>43843</v>
      </c>
      <c r="C49" s="88" t="s">
        <v>703</v>
      </c>
      <c r="D49" t="s">
        <v>862</v>
      </c>
      <c r="E49" t="s">
        <v>863</v>
      </c>
      <c r="F49" t="s">
        <v>864</v>
      </c>
      <c r="G49" t="s">
        <v>865</v>
      </c>
    </row>
    <row r="50" spans="1:22">
      <c r="A50" s="89">
        <f t="shared" si="0"/>
        <v>3</v>
      </c>
      <c r="B50" s="87">
        <v>43844</v>
      </c>
      <c r="C50" s="88">
        <v>2</v>
      </c>
      <c r="D50" t="s">
        <v>866</v>
      </c>
      <c r="E50" t="s">
        <v>867</v>
      </c>
      <c r="F50" t="s">
        <v>868</v>
      </c>
      <c r="G50" t="s">
        <v>869</v>
      </c>
    </row>
    <row r="51" spans="1:22">
      <c r="A51" s="89">
        <f t="shared" si="0"/>
        <v>3</v>
      </c>
      <c r="B51" s="87">
        <v>43845</v>
      </c>
      <c r="C51" s="88">
        <v>3</v>
      </c>
      <c r="D51" t="s">
        <v>870</v>
      </c>
      <c r="E51" t="s">
        <v>871</v>
      </c>
      <c r="F51" t="s">
        <v>872</v>
      </c>
      <c r="G51" t="s">
        <v>873</v>
      </c>
    </row>
    <row r="52" spans="1:22">
      <c r="A52" s="89">
        <f t="shared" si="0"/>
        <v>3</v>
      </c>
      <c r="B52" s="87">
        <v>43846</v>
      </c>
      <c r="C52" s="88">
        <v>4</v>
      </c>
      <c r="D52" t="s">
        <v>874</v>
      </c>
      <c r="E52" t="s">
        <v>875</v>
      </c>
      <c r="F52" t="s">
        <v>876</v>
      </c>
      <c r="G52" t="s">
        <v>877</v>
      </c>
      <c r="U52" s="65"/>
    </row>
    <row r="53" spans="1:22">
      <c r="A53" s="89">
        <f t="shared" si="0"/>
        <v>3</v>
      </c>
      <c r="B53" s="87">
        <v>43847</v>
      </c>
      <c r="C53" s="88">
        <v>5</v>
      </c>
      <c r="D53" t="s">
        <v>878</v>
      </c>
      <c r="E53" t="s">
        <v>879</v>
      </c>
      <c r="F53" t="s">
        <v>880</v>
      </c>
      <c r="G53" t="s">
        <v>881</v>
      </c>
      <c r="T53" s="66"/>
      <c r="U53" s="65"/>
    </row>
    <row r="54" spans="1:22">
      <c r="A54" s="89">
        <v>4</v>
      </c>
      <c r="B54" s="87" t="s">
        <v>818</v>
      </c>
      <c r="C54" s="88" t="s">
        <v>703</v>
      </c>
      <c r="D54" t="s">
        <v>882</v>
      </c>
      <c r="E54" t="s">
        <v>883</v>
      </c>
      <c r="F54" t="s">
        <v>884</v>
      </c>
      <c r="G54" t="s">
        <v>885</v>
      </c>
      <c r="H54" t="s">
        <v>886</v>
      </c>
      <c r="I54" t="s">
        <v>849</v>
      </c>
      <c r="J54" s="56" t="s">
        <v>887</v>
      </c>
      <c r="T54" s="66"/>
      <c r="U54" s="65"/>
    </row>
    <row r="55" spans="1:22">
      <c r="A55" s="89">
        <v>4</v>
      </c>
      <c r="B55" s="87">
        <v>43851</v>
      </c>
      <c r="C55" s="88">
        <v>2</v>
      </c>
      <c r="D55" t="s">
        <v>888</v>
      </c>
      <c r="E55" t="s">
        <v>889</v>
      </c>
      <c r="F55" t="s">
        <v>890</v>
      </c>
      <c r="G55" t="s">
        <v>891</v>
      </c>
      <c r="H55" t="s">
        <v>738</v>
      </c>
      <c r="I55" t="s">
        <v>745</v>
      </c>
      <c r="J55" s="56" t="s">
        <v>743</v>
      </c>
      <c r="T55" s="66"/>
      <c r="U55" s="65"/>
    </row>
    <row r="56" spans="1:22">
      <c r="A56" s="89">
        <v>4</v>
      </c>
      <c r="B56" s="87">
        <v>43852</v>
      </c>
      <c r="C56" s="88">
        <v>3</v>
      </c>
      <c r="D56" t="s">
        <v>892</v>
      </c>
      <c r="E56" t="s">
        <v>893</v>
      </c>
      <c r="F56" t="s">
        <v>894</v>
      </c>
      <c r="G56" t="s">
        <v>895</v>
      </c>
      <c r="H56" t="s">
        <v>748</v>
      </c>
      <c r="T56" s="66"/>
      <c r="U56" s="65"/>
    </row>
    <row r="57" spans="1:22">
      <c r="A57" s="89">
        <v>4</v>
      </c>
      <c r="B57" s="87">
        <v>43853</v>
      </c>
      <c r="C57" s="88">
        <v>4</v>
      </c>
      <c r="D57" t="s">
        <v>896</v>
      </c>
      <c r="E57" t="s">
        <v>897</v>
      </c>
      <c r="F57" t="s">
        <v>898</v>
      </c>
      <c r="G57" t="s">
        <v>899</v>
      </c>
      <c r="H57" t="s">
        <v>738</v>
      </c>
      <c r="T57" s="66"/>
      <c r="U57" s="65"/>
    </row>
    <row r="58" spans="1:22">
      <c r="A58" s="89">
        <v>4</v>
      </c>
      <c r="B58" s="87">
        <v>43854</v>
      </c>
      <c r="C58" s="88">
        <v>5</v>
      </c>
      <c r="D58" t="s">
        <v>900</v>
      </c>
      <c r="E58" t="s">
        <v>901</v>
      </c>
      <c r="F58" t="s">
        <v>902</v>
      </c>
      <c r="G58" t="s">
        <v>903</v>
      </c>
      <c r="H58" t="s">
        <v>744</v>
      </c>
      <c r="T58" s="66"/>
      <c r="U58" s="65"/>
    </row>
    <row r="59" spans="1:22">
      <c r="A59" s="89">
        <v>4</v>
      </c>
      <c r="B59" s="87">
        <v>43855</v>
      </c>
      <c r="C59" s="88">
        <v>6</v>
      </c>
      <c r="D59" t="s">
        <v>904</v>
      </c>
      <c r="E59" t="s">
        <v>905</v>
      </c>
      <c r="F59" t="s">
        <v>906</v>
      </c>
      <c r="G59" t="s">
        <v>907</v>
      </c>
      <c r="H59" t="s">
        <v>738</v>
      </c>
    </row>
    <row r="60" spans="1:22" s="81" customFormat="1">
      <c r="A60" s="91">
        <v>4</v>
      </c>
      <c r="B60" s="92">
        <v>43856</v>
      </c>
      <c r="C60" s="93">
        <v>7</v>
      </c>
      <c r="D60" s="81" t="s">
        <v>908</v>
      </c>
      <c r="E60" s="81" t="s">
        <v>909</v>
      </c>
      <c r="F60" s="81" t="s">
        <v>910</v>
      </c>
      <c r="G60" s="81" t="s">
        <v>911</v>
      </c>
      <c r="J60" s="95"/>
      <c r="M60" s="80"/>
      <c r="N60" s="81">
        <f>WEEKNUM(R60,2)</f>
        <v>5</v>
      </c>
      <c r="O60" s="81" t="s">
        <v>70</v>
      </c>
      <c r="P60" s="81" t="str">
        <f>G30</f>
        <v>ChT2T40120</v>
      </c>
      <c r="Q60" s="81">
        <f>IF(WEEKDAY(R60,1)=1,"CN",CHOOSE(WEEKDAY(R60,1),1,2,3,4,5,6,7))</f>
        <v>5</v>
      </c>
      <c r="R60" s="84">
        <v>43860</v>
      </c>
      <c r="S60" s="84" t="s">
        <v>766</v>
      </c>
      <c r="T60" s="81" t="s">
        <v>767</v>
      </c>
      <c r="U60" s="81" t="s">
        <v>853</v>
      </c>
      <c r="V60" s="81">
        <v>5</v>
      </c>
    </row>
    <row r="61" spans="1:22">
      <c r="A61" s="89">
        <v>4</v>
      </c>
      <c r="B61" s="87" t="s">
        <v>912</v>
      </c>
      <c r="C61" s="88">
        <v>6</v>
      </c>
      <c r="D61" t="s">
        <v>904</v>
      </c>
      <c r="E61" t="s">
        <v>905</v>
      </c>
      <c r="F61" t="s">
        <v>906</v>
      </c>
      <c r="G61" t="s">
        <v>907</v>
      </c>
      <c r="H61" t="s">
        <v>913</v>
      </c>
      <c r="I61" t="s">
        <v>849</v>
      </c>
      <c r="J61" s="56" t="s">
        <v>914</v>
      </c>
      <c r="P61" t="str">
        <f>_xlfn.IFNA(IF($O$60&lt;&gt;"",MATCH($O$60,$T$60:$T$69,0)+59,""),"")</f>
        <v/>
      </c>
    </row>
    <row r="62" spans="1:22">
      <c r="A62" s="89">
        <v>4</v>
      </c>
      <c r="B62" s="87">
        <v>43856</v>
      </c>
      <c r="C62" s="88">
        <v>7</v>
      </c>
      <c r="D62" t="s">
        <v>908</v>
      </c>
      <c r="E62" t="s">
        <v>909</v>
      </c>
      <c r="F62" t="s">
        <v>910</v>
      </c>
      <c r="G62" t="s">
        <v>911</v>
      </c>
      <c r="H62" t="s">
        <v>750</v>
      </c>
      <c r="I62" t="s">
        <v>849</v>
      </c>
      <c r="J62" s="56" t="s">
        <v>746</v>
      </c>
      <c r="P62" t="str">
        <f>_xlfn.IFNA(IF($O$60&lt;&gt;"",MATCH($O$60,$U$60:$U$79,0)+59,""),"")</f>
        <v/>
      </c>
      <c r="S62" t="s">
        <v>619</v>
      </c>
    </row>
    <row r="63" spans="1:22">
      <c r="A63" s="89">
        <v>5</v>
      </c>
      <c r="B63" s="87">
        <v>43857</v>
      </c>
      <c r="C63" s="88" t="s">
        <v>703</v>
      </c>
      <c r="D63" t="s">
        <v>915</v>
      </c>
      <c r="E63" t="s">
        <v>916</v>
      </c>
      <c r="F63" t="s">
        <v>917</v>
      </c>
      <c r="G63" t="s">
        <v>918</v>
      </c>
      <c r="H63" t="s">
        <v>748</v>
      </c>
      <c r="I63" t="s">
        <v>849</v>
      </c>
      <c r="J63" s="56" t="s">
        <v>743</v>
      </c>
    </row>
    <row r="64" spans="1:22">
      <c r="A64" s="89">
        <v>5</v>
      </c>
      <c r="B64" s="87">
        <v>43858</v>
      </c>
      <c r="C64" s="88">
        <v>2</v>
      </c>
      <c r="D64" t="s">
        <v>919</v>
      </c>
      <c r="E64" t="s">
        <v>920</v>
      </c>
      <c r="F64" t="s">
        <v>921</v>
      </c>
      <c r="G64" t="s">
        <v>922</v>
      </c>
      <c r="H64" t="s">
        <v>738</v>
      </c>
    </row>
    <row r="65" spans="1:22">
      <c r="A65" s="89">
        <v>5</v>
      </c>
      <c r="B65" s="87">
        <v>43859</v>
      </c>
      <c r="C65" s="88">
        <v>3</v>
      </c>
      <c r="D65" t="s">
        <v>923</v>
      </c>
      <c r="E65" t="s">
        <v>924</v>
      </c>
      <c r="F65" t="s">
        <v>925</v>
      </c>
      <c r="G65" t="s">
        <v>926</v>
      </c>
      <c r="H65" t="s">
        <v>748</v>
      </c>
    </row>
    <row r="66" spans="1:22">
      <c r="A66" s="89">
        <v>5</v>
      </c>
      <c r="B66" s="87">
        <v>43860</v>
      </c>
      <c r="C66" s="88">
        <v>4</v>
      </c>
      <c r="D66" t="s">
        <v>927</v>
      </c>
      <c r="E66" t="s">
        <v>928</v>
      </c>
      <c r="F66" t="s">
        <v>929</v>
      </c>
      <c r="G66" t="s">
        <v>930</v>
      </c>
      <c r="H66" t="s">
        <v>738</v>
      </c>
    </row>
    <row r="67" spans="1:22">
      <c r="A67" s="89">
        <v>5</v>
      </c>
      <c r="B67" s="87">
        <v>43861</v>
      </c>
      <c r="C67" s="88">
        <v>5</v>
      </c>
      <c r="D67" t="s">
        <v>931</v>
      </c>
      <c r="E67" t="s">
        <v>932</v>
      </c>
      <c r="F67" t="s">
        <v>933</v>
      </c>
      <c r="G67" t="s">
        <v>934</v>
      </c>
    </row>
    <row r="68" spans="1:22">
      <c r="A68" s="89">
        <v>5</v>
      </c>
      <c r="B68" s="87" t="s">
        <v>935</v>
      </c>
      <c r="C68" s="88" t="s">
        <v>703</v>
      </c>
      <c r="D68" t="s">
        <v>915</v>
      </c>
      <c r="E68" t="s">
        <v>916</v>
      </c>
      <c r="F68" t="s">
        <v>917</v>
      </c>
      <c r="G68" t="s">
        <v>918</v>
      </c>
      <c r="H68" t="s">
        <v>936</v>
      </c>
      <c r="I68" t="s">
        <v>937</v>
      </c>
      <c r="J68" s="56" t="s">
        <v>887</v>
      </c>
      <c r="T68" s="68"/>
    </row>
    <row r="69" spans="1:22">
      <c r="A69" s="89">
        <v>5</v>
      </c>
      <c r="B69" s="87">
        <v>43858</v>
      </c>
      <c r="C69" s="88">
        <v>2</v>
      </c>
      <c r="D69" t="s">
        <v>919</v>
      </c>
      <c r="E69" t="s">
        <v>920</v>
      </c>
      <c r="F69" t="s">
        <v>921</v>
      </c>
      <c r="G69" t="s">
        <v>922</v>
      </c>
      <c r="H69" t="s">
        <v>744</v>
      </c>
      <c r="I69" t="s">
        <v>745</v>
      </c>
      <c r="J69" s="56" t="s">
        <v>746</v>
      </c>
      <c r="S69" s="69"/>
      <c r="T69" s="68"/>
    </row>
    <row r="70" spans="1:22">
      <c r="A70" s="89">
        <v>5</v>
      </c>
      <c r="B70" s="87">
        <v>43859</v>
      </c>
      <c r="C70" s="88">
        <v>3</v>
      </c>
      <c r="D70" t="s">
        <v>923</v>
      </c>
      <c r="E70" t="s">
        <v>924</v>
      </c>
      <c r="F70" t="s">
        <v>925</v>
      </c>
      <c r="G70" t="s">
        <v>926</v>
      </c>
      <c r="H70" t="s">
        <v>738</v>
      </c>
      <c r="I70" t="s">
        <v>747</v>
      </c>
      <c r="J70" s="56" t="s">
        <v>743</v>
      </c>
      <c r="T70" s="68"/>
      <c r="U70" s="67"/>
    </row>
    <row r="71" spans="1:22">
      <c r="A71" s="89">
        <v>5</v>
      </c>
      <c r="B71" s="87">
        <v>43860</v>
      </c>
      <c r="C71" s="88">
        <v>4</v>
      </c>
      <c r="D71" t="s">
        <v>927</v>
      </c>
      <c r="E71" t="s">
        <v>928</v>
      </c>
      <c r="F71" t="s">
        <v>929</v>
      </c>
      <c r="G71" t="s">
        <v>930</v>
      </c>
      <c r="H71" t="s">
        <v>750</v>
      </c>
      <c r="I71" t="s">
        <v>742</v>
      </c>
      <c r="J71" s="56" t="s">
        <v>751</v>
      </c>
      <c r="T71" s="68"/>
      <c r="U71" s="67"/>
    </row>
    <row r="72" spans="1:22">
      <c r="A72" s="89">
        <v>5</v>
      </c>
      <c r="B72" s="87">
        <v>43861</v>
      </c>
      <c r="C72" s="88">
        <v>5</v>
      </c>
      <c r="D72" t="s">
        <v>931</v>
      </c>
      <c r="E72" t="s">
        <v>932</v>
      </c>
      <c r="F72" t="s">
        <v>933</v>
      </c>
      <c r="G72" t="s">
        <v>934</v>
      </c>
      <c r="H72" t="s">
        <v>744</v>
      </c>
      <c r="I72" t="s">
        <v>745</v>
      </c>
      <c r="J72" s="56" t="s">
        <v>746</v>
      </c>
      <c r="T72" s="68"/>
      <c r="U72" s="67"/>
    </row>
    <row r="73" spans="1:22">
      <c r="A73" s="89">
        <v>5</v>
      </c>
      <c r="B73" s="87">
        <v>43862</v>
      </c>
      <c r="C73" s="88">
        <v>6</v>
      </c>
      <c r="D73" t="s">
        <v>938</v>
      </c>
      <c r="E73" t="s">
        <v>939</v>
      </c>
      <c r="F73" t="s">
        <v>940</v>
      </c>
      <c r="G73" t="s">
        <v>941</v>
      </c>
      <c r="H73" t="s">
        <v>748</v>
      </c>
      <c r="I73" t="s">
        <v>749</v>
      </c>
      <c r="J73" s="56" t="s">
        <v>33</v>
      </c>
      <c r="T73" s="68"/>
      <c r="U73" s="67"/>
    </row>
    <row r="74" spans="1:22">
      <c r="A74" s="89">
        <v>5</v>
      </c>
      <c r="B74" s="87">
        <v>43863</v>
      </c>
      <c r="C74" s="88">
        <v>7</v>
      </c>
      <c r="D74" t="s">
        <v>942</v>
      </c>
      <c r="E74" t="s">
        <v>943</v>
      </c>
      <c r="F74" t="s">
        <v>944</v>
      </c>
      <c r="G74" t="s">
        <v>945</v>
      </c>
      <c r="H74" t="s">
        <v>848</v>
      </c>
      <c r="I74" t="s">
        <v>849</v>
      </c>
      <c r="J74" s="56" t="s">
        <v>850</v>
      </c>
      <c r="T74" s="68"/>
      <c r="U74" s="67"/>
    </row>
    <row r="75" spans="1:22">
      <c r="T75" s="68"/>
      <c r="U75" s="67"/>
    </row>
    <row r="76" spans="1:22">
      <c r="T76" s="68"/>
      <c r="U76" s="67"/>
    </row>
    <row r="77" spans="1:22">
      <c r="T77" s="68"/>
      <c r="U77" s="67"/>
    </row>
    <row r="78" spans="1:22">
      <c r="T78" s="68"/>
      <c r="U78" s="67"/>
    </row>
    <row r="79" spans="1:22">
      <c r="T79" s="68"/>
      <c r="U79" s="67"/>
    </row>
    <row r="80" spans="1:22" s="81" customFormat="1">
      <c r="A80" s="91"/>
      <c r="B80" s="92"/>
      <c r="C80" s="93"/>
      <c r="J80" s="95"/>
      <c r="M80" s="80"/>
      <c r="N80" s="81">
        <f>WEEKNUM(R80,2)</f>
        <v>5</v>
      </c>
      <c r="O80" s="96" t="s">
        <v>41</v>
      </c>
      <c r="P80" s="81" t="str">
        <f>_xlfn.IFNA(IF($O$80&lt;&gt;"",MATCH($O$80,$S$80:$S$99,0)+79,""),"")</f>
        <v/>
      </c>
      <c r="Q80" s="81">
        <f>IF(WEEKDAY(R80,1)=1,"CN",CHOOSE(WEEKDAY(R80,1),1,2,3,4,5,6,7))</f>
        <v>6</v>
      </c>
      <c r="R80" s="84">
        <v>43861</v>
      </c>
      <c r="S80" s="84" t="s">
        <v>766</v>
      </c>
      <c r="T80" s="81" t="s">
        <v>767</v>
      </c>
      <c r="U80" s="81" t="s">
        <v>853</v>
      </c>
      <c r="V80" s="81">
        <v>6</v>
      </c>
    </row>
    <row r="81" spans="16:21">
      <c r="P81" t="str">
        <f>_xlfn.IFNA(IF($O$80&lt;&gt;"",MATCH($O$80,$T$80:$T$99,0)+79,""),"")</f>
        <v/>
      </c>
    </row>
    <row r="82" spans="16:21">
      <c r="P82" t="str">
        <f>_xlfn.IFNA(IF($O$80&lt;&gt;"",MATCH($O$80,$U$80:$U$99,0)+79,""),"")</f>
        <v/>
      </c>
      <c r="S82" t="s">
        <v>26</v>
      </c>
    </row>
    <row r="86" spans="16:21">
      <c r="S86" s="69"/>
      <c r="U86" s="69"/>
    </row>
    <row r="88" spans="16:21">
      <c r="S88" s="73"/>
      <c r="T88" s="69"/>
      <c r="U88" s="64"/>
    </row>
    <row r="89" spans="16:21">
      <c r="S89" s="73"/>
      <c r="T89" s="78"/>
      <c r="U89" s="64"/>
    </row>
    <row r="90" spans="16:21">
      <c r="S90" s="73"/>
      <c r="T90" s="78"/>
      <c r="U90" s="64"/>
    </row>
    <row r="91" spans="16:21">
      <c r="S91" s="73"/>
      <c r="T91" s="78"/>
      <c r="U91" s="64"/>
    </row>
    <row r="92" spans="16:21">
      <c r="S92" s="73"/>
      <c r="T92" s="78"/>
      <c r="U92" s="64"/>
    </row>
    <row r="93" spans="16:21">
      <c r="S93" s="73"/>
      <c r="T93" s="78"/>
      <c r="U93" s="64"/>
    </row>
    <row r="94" spans="16:21">
      <c r="S94" s="73"/>
      <c r="T94" s="78"/>
      <c r="U94" s="64"/>
    </row>
    <row r="95" spans="16:21">
      <c r="S95" s="73"/>
      <c r="T95" s="78"/>
      <c r="U95" s="64"/>
    </row>
    <row r="96" spans="16:21">
      <c r="S96" s="73"/>
      <c r="T96" s="78"/>
      <c r="U96" s="64"/>
    </row>
    <row r="97" spans="1:22">
      <c r="S97" s="73"/>
      <c r="T97" s="78"/>
      <c r="U97" s="64"/>
    </row>
    <row r="98" spans="1:22">
      <c r="S98" s="73"/>
      <c r="T98" s="78"/>
      <c r="U98" s="64"/>
    </row>
    <row r="99" spans="1:22">
      <c r="S99" s="73"/>
      <c r="T99" s="78"/>
      <c r="U99" s="64"/>
    </row>
    <row r="100" spans="1:22" s="81" customFormat="1">
      <c r="A100" s="91"/>
      <c r="B100" s="92"/>
      <c r="C100" s="93"/>
      <c r="J100" s="95"/>
      <c r="M100" s="80"/>
      <c r="N100" s="81">
        <f>WEEKNUM(R100,2)</f>
        <v>5</v>
      </c>
      <c r="O100" s="96" t="s">
        <v>688</v>
      </c>
      <c r="P100" s="81" t="str">
        <f>_xlfn.IFNA(IF($O$100&lt;&gt;"",MATCH($O$100,$S$100:$S$119,0)+99,""),"")</f>
        <v/>
      </c>
      <c r="Q100" s="81">
        <f>IF(WEEKDAY(R100,1)=1,"CN",CHOOSE(WEEKDAY(R100,1),1,2,3,4,5,6,7))</f>
        <v>7</v>
      </c>
      <c r="R100" s="84">
        <v>43862</v>
      </c>
      <c r="S100" s="84" t="s">
        <v>766</v>
      </c>
      <c r="T100" s="81" t="s">
        <v>767</v>
      </c>
      <c r="U100" s="81" t="s">
        <v>853</v>
      </c>
      <c r="V100" s="81">
        <v>7</v>
      </c>
    </row>
    <row r="101" spans="1:22">
      <c r="P101" t="str">
        <f>_xlfn.IFNA(IF($O$100&lt;&gt;"",MATCH($O$100,$T$100:$T$119,0)+99,""),"")</f>
        <v/>
      </c>
    </row>
    <row r="102" spans="1:22">
      <c r="P102" t="str">
        <f>_xlfn.IFNA(IF($O$100&lt;&gt;"",MATCH($O$100,$U$100:$U$119,0)+99,""),"")</f>
        <v/>
      </c>
      <c r="S102" t="s">
        <v>26</v>
      </c>
    </row>
    <row r="105" spans="1:22">
      <c r="T105" s="69"/>
    </row>
    <row r="106" spans="1:22">
      <c r="S106" s="69"/>
    </row>
    <row r="107" spans="1:22">
      <c r="U107" s="69"/>
    </row>
    <row r="108" spans="1:22">
      <c r="S108" s="63"/>
      <c r="T108" s="62"/>
      <c r="U108" s="61"/>
    </row>
    <row r="109" spans="1:22">
      <c r="S109" s="63"/>
      <c r="T109" s="62"/>
      <c r="U109" s="61"/>
    </row>
    <row r="110" spans="1:22">
      <c r="S110" s="63"/>
      <c r="T110" s="62"/>
      <c r="U110" s="61"/>
    </row>
    <row r="111" spans="1:22">
      <c r="S111" s="63"/>
      <c r="T111" s="62"/>
      <c r="U111" s="61"/>
    </row>
    <row r="112" spans="1:22">
      <c r="S112" s="63"/>
      <c r="T112" s="62"/>
      <c r="U112" s="61"/>
    </row>
    <row r="113" spans="14:22">
      <c r="S113" s="63"/>
      <c r="T113" s="62"/>
      <c r="U113" s="61"/>
    </row>
    <row r="114" spans="14:22">
      <c r="S114" s="63"/>
      <c r="T114" s="62"/>
      <c r="U114" s="61"/>
    </row>
    <row r="115" spans="14:22">
      <c r="S115" s="63"/>
      <c r="T115" s="62"/>
      <c r="U115" s="61"/>
    </row>
    <row r="116" spans="14:22">
      <c r="S116" s="63"/>
      <c r="T116" s="62"/>
      <c r="U116" s="61"/>
    </row>
    <row r="117" spans="14:22">
      <c r="S117" s="63"/>
      <c r="T117" s="62"/>
      <c r="U117" s="61"/>
    </row>
    <row r="118" spans="14:22">
      <c r="S118" s="63"/>
      <c r="T118" s="62"/>
      <c r="U118" s="61"/>
    </row>
    <row r="119" spans="14:22">
      <c r="S119" s="63"/>
      <c r="T119" s="62"/>
      <c r="U119" s="61"/>
    </row>
    <row r="120" spans="14:22">
      <c r="N120">
        <f>WEEKNUM(R120,2)</f>
        <v>5</v>
      </c>
      <c r="O120" s="69" t="s">
        <v>689</v>
      </c>
      <c r="P120" t="str">
        <f>_xlfn.IFNA(IF($O$120&lt;&gt;"",MATCH($O$120,$S$120:$S$139,0)+119,""),"")</f>
        <v/>
      </c>
      <c r="Q120" t="str">
        <f>IF(WEEKDAY(R120,1)=1,"CN",CHOOSE(WEEKDAY(R120,1),1,2,3,4,5,6,7))</f>
        <v>CN</v>
      </c>
      <c r="R120" s="83">
        <v>43863</v>
      </c>
      <c r="S120" s="85" t="s">
        <v>766</v>
      </c>
      <c r="T120" s="62" t="s">
        <v>767</v>
      </c>
      <c r="U120" s="61" t="s">
        <v>853</v>
      </c>
      <c r="V120" t="s">
        <v>703</v>
      </c>
    </row>
    <row r="121" spans="14:22">
      <c r="P121" t="str">
        <f>_xlfn.IFNA(IF($O$120&lt;&gt;"",MATCH($O$120,$T$120:$T$139,0)+119,""),"")</f>
        <v/>
      </c>
    </row>
    <row r="122" spans="14:22">
      <c r="P122" t="str">
        <f>_xlfn.IFNA(IF($O$120&lt;&gt;"",MATCH($O$120,$U$120:$U$139,0)+119,""),"")</f>
        <v/>
      </c>
    </row>
    <row r="127" spans="14:22">
      <c r="T127" s="69"/>
    </row>
    <row r="128" spans="14:22">
      <c r="S128" s="69"/>
      <c r="T128" s="60"/>
    </row>
    <row r="129" spans="18:21">
      <c r="S129" s="59"/>
      <c r="T129" s="60"/>
      <c r="U129" s="69"/>
    </row>
    <row r="130" spans="18:21">
      <c r="S130" s="59"/>
      <c r="T130" s="60"/>
      <c r="U130" s="77"/>
    </row>
    <row r="131" spans="18:21">
      <c r="S131" s="59"/>
      <c r="T131" s="60"/>
      <c r="U131" s="77"/>
    </row>
    <row r="132" spans="18:21">
      <c r="S132" s="59"/>
      <c r="T132" s="60"/>
      <c r="U132" s="77"/>
    </row>
    <row r="133" spans="18:21">
      <c r="S133" s="59"/>
      <c r="T133" s="60"/>
      <c r="U133" s="77"/>
    </row>
    <row r="134" spans="18:21">
      <c r="S134" s="59"/>
      <c r="T134" s="60"/>
      <c r="U134" s="77"/>
    </row>
    <row r="135" spans="18:21">
      <c r="S135" s="59"/>
      <c r="T135" s="60"/>
      <c r="U135" s="77"/>
    </row>
    <row r="136" spans="18:21">
      <c r="S136" s="59"/>
      <c r="T136" s="60"/>
      <c r="U136" s="77"/>
    </row>
    <row r="137" spans="18:21">
      <c r="S137" s="59"/>
      <c r="T137" s="60"/>
      <c r="U137" s="77"/>
    </row>
    <row r="138" spans="18:21">
      <c r="S138" s="59"/>
      <c r="T138" s="60"/>
      <c r="U138" s="77"/>
    </row>
    <row r="139" spans="18:21">
      <c r="S139" s="59"/>
      <c r="T139" s="60"/>
      <c r="U139" s="77"/>
    </row>
    <row r="140" spans="18:21">
      <c r="R140" s="9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8" sqref="H8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IQ348"/>
  <sheetViews>
    <sheetView topLeftCell="A8" workbookViewId="0">
      <selection activeCell="C6" sqref="C6:C7"/>
    </sheetView>
  </sheetViews>
  <sheetFormatPr defaultColWidth="9" defaultRowHeight="15"/>
  <cols>
    <col min="1" max="1" width="6.8984375" style="4" customWidth="1"/>
    <col min="2" max="2" width="5.19921875" style="4" customWidth="1"/>
    <col min="3" max="3" width="20" style="4" customWidth="1"/>
    <col min="4" max="4" width="5.69921875" style="4" customWidth="1"/>
    <col min="5" max="15" width="6.19921875" style="4" customWidth="1"/>
    <col min="16" max="20" width="7.19921875" style="4" customWidth="1"/>
    <col min="21" max="25" width="4.59765625" style="4" customWidth="1"/>
    <col min="26" max="26" width="27" style="4" customWidth="1"/>
    <col min="27" max="27" width="4.59765625" style="4" customWidth="1"/>
    <col min="28" max="28" width="26.19921875" style="4" customWidth="1"/>
    <col min="29" max="16384" width="9" style="4"/>
  </cols>
  <sheetData>
    <row r="1" spans="1:251">
      <c r="A1" s="1"/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51">
      <c r="A2" s="1"/>
      <c r="B2" s="1"/>
      <c r="C2" s="5" t="s">
        <v>97</v>
      </c>
      <c r="D2" s="3"/>
      <c r="E2" s="3"/>
      <c r="F2" s="3"/>
      <c r="G2" s="3"/>
      <c r="H2" s="3"/>
      <c r="I2" s="3"/>
      <c r="J2" s="3"/>
      <c r="K2" s="3"/>
      <c r="L2" s="6"/>
      <c r="M2" s="6"/>
      <c r="N2" s="6"/>
      <c r="O2" s="6"/>
      <c r="P2" s="6"/>
      <c r="Q2" s="6"/>
      <c r="R2" s="6"/>
      <c r="S2" s="3"/>
      <c r="T2" s="3"/>
      <c r="IQ2" s="4" t="s">
        <v>105</v>
      </c>
    </row>
    <row r="3" spans="1:251" ht="14.25" customHeight="1">
      <c r="A3" s="1"/>
      <c r="B3" s="1"/>
      <c r="C3" s="7" t="s">
        <v>106</v>
      </c>
      <c r="D3" s="3"/>
      <c r="E3" s="3"/>
      <c r="F3" s="3"/>
      <c r="G3" s="3"/>
      <c r="H3" s="3"/>
      <c r="I3" s="3"/>
      <c r="J3" s="3"/>
      <c r="K3" s="3"/>
      <c r="IQ3" s="4">
        <v>683380770</v>
      </c>
    </row>
    <row r="4" spans="1:251" ht="14.25" customHeight="1">
      <c r="A4" s="1"/>
      <c r="B4" s="1"/>
      <c r="C4" s="8" t="s">
        <v>107</v>
      </c>
      <c r="D4" s="3"/>
      <c r="E4" s="3"/>
      <c r="F4" s="9"/>
      <c r="G4" s="3"/>
      <c r="H4" s="3"/>
      <c r="I4" s="3"/>
      <c r="J4" s="3"/>
      <c r="K4" s="3"/>
      <c r="IQ4" s="4" t="s">
        <v>108</v>
      </c>
    </row>
    <row r="5" spans="1:251" ht="15.6" thickBot="1">
      <c r="A5" s="1"/>
      <c r="B5" s="1"/>
      <c r="C5" s="2"/>
      <c r="D5" s="10"/>
      <c r="E5" s="10"/>
      <c r="F5" s="10"/>
      <c r="G5" s="10"/>
      <c r="H5" s="10"/>
      <c r="I5" s="10"/>
      <c r="J5" s="10"/>
      <c r="K5" s="10"/>
      <c r="IQ5" s="11">
        <v>42924.653819444444</v>
      </c>
    </row>
    <row r="6" spans="1:251" s="12" customFormat="1" ht="27" customHeight="1">
      <c r="A6" s="101" t="s">
        <v>109</v>
      </c>
      <c r="B6" s="103" t="s">
        <v>110</v>
      </c>
      <c r="C6" s="105" t="s">
        <v>111</v>
      </c>
      <c r="D6" s="107" t="s">
        <v>112</v>
      </c>
      <c r="E6" s="100" t="s">
        <v>113</v>
      </c>
      <c r="F6" s="100"/>
      <c r="G6" s="100"/>
      <c r="H6" s="100"/>
      <c r="I6" s="100"/>
      <c r="J6" s="100"/>
      <c r="K6" s="100"/>
      <c r="L6" s="100" t="s">
        <v>114</v>
      </c>
      <c r="M6" s="100"/>
      <c r="N6" s="100"/>
      <c r="O6" s="100" t="s">
        <v>115</v>
      </c>
      <c r="P6" s="100"/>
      <c r="Q6" s="100"/>
      <c r="R6" s="100"/>
      <c r="S6" s="100"/>
      <c r="T6" s="111"/>
      <c r="AA6" s="109" t="s">
        <v>116</v>
      </c>
      <c r="AB6" s="109" t="s">
        <v>117</v>
      </c>
      <c r="AC6" s="109" t="s">
        <v>118</v>
      </c>
      <c r="AD6" s="109" t="s">
        <v>119</v>
      </c>
      <c r="AE6" s="112" t="s">
        <v>120</v>
      </c>
      <c r="AF6" s="113"/>
      <c r="AG6" s="114"/>
      <c r="AH6" s="109" t="s">
        <v>121</v>
      </c>
      <c r="AI6" s="109" t="s">
        <v>122</v>
      </c>
      <c r="AJ6" s="109" t="s">
        <v>123</v>
      </c>
      <c r="AK6" s="109" t="s">
        <v>124</v>
      </c>
      <c r="AL6" s="109" t="s">
        <v>125</v>
      </c>
      <c r="AM6" s="109" t="s">
        <v>126</v>
      </c>
      <c r="AN6" s="112" t="s">
        <v>127</v>
      </c>
      <c r="AO6" s="113"/>
      <c r="AP6" s="114"/>
      <c r="AQ6" s="109" t="s">
        <v>128</v>
      </c>
      <c r="AR6" s="109" t="s">
        <v>129</v>
      </c>
      <c r="AS6" s="109" t="s">
        <v>130</v>
      </c>
      <c r="AT6" s="109" t="s">
        <v>131</v>
      </c>
      <c r="AU6" s="109" t="s">
        <v>132</v>
      </c>
      <c r="AV6" s="109" t="s">
        <v>133</v>
      </c>
      <c r="AW6" s="109" t="s">
        <v>134</v>
      </c>
      <c r="AX6" s="109" t="s">
        <v>135</v>
      </c>
    </row>
    <row r="7" spans="1:251" s="12" customFormat="1" ht="48.75" customHeight="1" thickBot="1">
      <c r="A7" s="102"/>
      <c r="B7" s="104"/>
      <c r="C7" s="106"/>
      <c r="D7" s="108"/>
      <c r="E7" s="13" t="s">
        <v>136</v>
      </c>
      <c r="F7" s="14" t="s">
        <v>137</v>
      </c>
      <c r="G7" s="14" t="s">
        <v>138</v>
      </c>
      <c r="H7" s="14" t="s">
        <v>139</v>
      </c>
      <c r="I7" s="14" t="s">
        <v>140</v>
      </c>
      <c r="J7" s="14" t="s">
        <v>141</v>
      </c>
      <c r="K7" s="14" t="s">
        <v>142</v>
      </c>
      <c r="L7" s="14" t="s">
        <v>143</v>
      </c>
      <c r="M7" s="14" t="s">
        <v>144</v>
      </c>
      <c r="N7" s="15" t="s">
        <v>145</v>
      </c>
      <c r="O7" s="14" t="s">
        <v>146</v>
      </c>
      <c r="P7" s="14" t="s">
        <v>147</v>
      </c>
      <c r="Q7" s="14" t="s">
        <v>148</v>
      </c>
      <c r="R7" s="14" t="s">
        <v>149</v>
      </c>
      <c r="S7" s="14" t="s">
        <v>150</v>
      </c>
      <c r="T7" s="16" t="s">
        <v>151</v>
      </c>
      <c r="AA7" s="110"/>
      <c r="AB7" s="110"/>
      <c r="AC7" s="110"/>
      <c r="AD7" s="110"/>
      <c r="AE7" s="17" t="s">
        <v>152</v>
      </c>
      <c r="AF7" s="17" t="s">
        <v>153</v>
      </c>
      <c r="AG7" s="18" t="s">
        <v>154</v>
      </c>
      <c r="AH7" s="110"/>
      <c r="AI7" s="110"/>
      <c r="AJ7" s="110"/>
      <c r="AK7" s="110"/>
      <c r="AL7" s="110"/>
      <c r="AM7" s="110"/>
      <c r="AN7" s="17" t="s">
        <v>152</v>
      </c>
      <c r="AO7" s="17" t="s">
        <v>153</v>
      </c>
      <c r="AP7" s="18" t="s">
        <v>154</v>
      </c>
      <c r="AQ7" s="110"/>
      <c r="AR7" s="110"/>
      <c r="AS7" s="110"/>
      <c r="AT7" s="110"/>
      <c r="AU7" s="110"/>
      <c r="AV7" s="110"/>
      <c r="AW7" s="110"/>
      <c r="AX7" s="110"/>
    </row>
    <row r="8" spans="1:251" ht="15.6">
      <c r="A8" s="19">
        <v>1001</v>
      </c>
      <c r="B8" s="20" t="s">
        <v>155</v>
      </c>
      <c r="C8" s="21" t="s">
        <v>156</v>
      </c>
      <c r="D8" s="22">
        <v>1</v>
      </c>
      <c r="E8" s="22">
        <v>346</v>
      </c>
      <c r="F8" s="22">
        <v>14</v>
      </c>
      <c r="G8" s="22">
        <v>8.6</v>
      </c>
      <c r="H8" s="22">
        <v>1.5</v>
      </c>
      <c r="I8" s="22">
        <v>74.900000000000006</v>
      </c>
      <c r="J8" s="22">
        <v>0.6</v>
      </c>
      <c r="K8" s="22">
        <v>0.8</v>
      </c>
      <c r="L8" s="22">
        <v>32</v>
      </c>
      <c r="M8" s="22">
        <v>98</v>
      </c>
      <c r="N8" s="22">
        <v>1.2</v>
      </c>
      <c r="O8" s="23"/>
      <c r="P8" s="23"/>
      <c r="Q8" s="22">
        <v>0.1</v>
      </c>
      <c r="R8" s="23"/>
      <c r="S8" s="22">
        <v>0.1</v>
      </c>
      <c r="T8" s="24">
        <v>2.4</v>
      </c>
      <c r="U8" s="20" t="s">
        <v>155</v>
      </c>
      <c r="AA8" s="25" t="s">
        <v>155</v>
      </c>
      <c r="AB8" s="25" t="s">
        <v>157</v>
      </c>
      <c r="AC8" s="26" t="s">
        <v>158</v>
      </c>
      <c r="AD8" s="25" t="s">
        <v>159</v>
      </c>
      <c r="AE8" s="25" t="s">
        <v>160</v>
      </c>
      <c r="AF8" s="25" t="s">
        <v>161</v>
      </c>
      <c r="AG8" s="25"/>
      <c r="AH8" s="25" t="s">
        <v>162</v>
      </c>
      <c r="AI8" s="27" t="s">
        <v>163</v>
      </c>
      <c r="AJ8" s="27" t="s">
        <v>164</v>
      </c>
      <c r="AK8" s="27" t="s">
        <v>165</v>
      </c>
      <c r="AL8" s="27" t="s">
        <v>166</v>
      </c>
      <c r="AM8" s="27" t="s">
        <v>167</v>
      </c>
      <c r="AN8" s="27" t="s">
        <v>168</v>
      </c>
      <c r="AO8" s="27" t="s">
        <v>169</v>
      </c>
      <c r="AP8" s="27"/>
      <c r="AQ8" s="27" t="s">
        <v>170</v>
      </c>
      <c r="AR8" s="27" t="s">
        <v>171</v>
      </c>
      <c r="AS8" s="27" t="s">
        <v>172</v>
      </c>
      <c r="AT8" s="27" t="s">
        <v>173</v>
      </c>
      <c r="AU8" s="27" t="s">
        <v>174</v>
      </c>
      <c r="AV8" s="27" t="s">
        <v>175</v>
      </c>
      <c r="AW8" s="27" t="s">
        <v>176</v>
      </c>
      <c r="AX8" s="27" t="s">
        <v>177</v>
      </c>
    </row>
    <row r="9" spans="1:251" ht="15.6">
      <c r="A9" s="28">
        <v>1003</v>
      </c>
      <c r="B9" s="20" t="s">
        <v>155</v>
      </c>
      <c r="C9" s="6" t="s">
        <v>98</v>
      </c>
      <c r="D9" s="29">
        <v>1</v>
      </c>
      <c r="E9" s="29">
        <v>344</v>
      </c>
      <c r="F9" s="29">
        <v>14</v>
      </c>
      <c r="G9" s="29">
        <v>7.9</v>
      </c>
      <c r="H9" s="29">
        <v>1</v>
      </c>
      <c r="I9" s="29">
        <v>76.2</v>
      </c>
      <c r="J9" s="29">
        <v>0.4</v>
      </c>
      <c r="K9" s="29">
        <v>0.8</v>
      </c>
      <c r="L9" s="29">
        <v>30</v>
      </c>
      <c r="M9" s="29">
        <v>104</v>
      </c>
      <c r="N9" s="29">
        <v>1.3</v>
      </c>
      <c r="O9" s="30"/>
      <c r="P9" s="29">
        <v>0</v>
      </c>
      <c r="Q9" s="29">
        <v>0.1</v>
      </c>
      <c r="R9" s="30"/>
      <c r="S9" s="29">
        <v>0</v>
      </c>
      <c r="T9" s="31">
        <v>1.6</v>
      </c>
      <c r="U9" s="20" t="s">
        <v>155</v>
      </c>
    </row>
    <row r="10" spans="1:251" ht="15.6">
      <c r="A10" s="28">
        <v>1003</v>
      </c>
      <c r="B10" s="20" t="s">
        <v>155</v>
      </c>
      <c r="C10" s="20" t="s">
        <v>178</v>
      </c>
      <c r="D10" s="29">
        <v>1</v>
      </c>
      <c r="E10" s="29">
        <v>344</v>
      </c>
      <c r="F10" s="29">
        <v>14</v>
      </c>
      <c r="G10" s="29">
        <v>7.9</v>
      </c>
      <c r="H10" s="29">
        <v>1</v>
      </c>
      <c r="I10" s="29">
        <v>76.2</v>
      </c>
      <c r="J10" s="29">
        <v>0.4</v>
      </c>
      <c r="K10" s="29">
        <v>0.8</v>
      </c>
      <c r="L10" s="29">
        <v>30</v>
      </c>
      <c r="M10" s="29">
        <v>104</v>
      </c>
      <c r="N10" s="29">
        <v>1.3</v>
      </c>
      <c r="O10" s="30"/>
      <c r="P10" s="29">
        <v>0</v>
      </c>
      <c r="Q10" s="29">
        <v>0.1</v>
      </c>
      <c r="R10" s="30"/>
      <c r="S10" s="29">
        <v>0</v>
      </c>
      <c r="T10" s="31">
        <v>1.6</v>
      </c>
      <c r="U10" s="20" t="s">
        <v>155</v>
      </c>
      <c r="AA10" s="25" t="s">
        <v>155</v>
      </c>
      <c r="AB10" s="4" t="s">
        <v>98</v>
      </c>
    </row>
    <row r="11" spans="1:251" ht="15.6">
      <c r="A11" s="28">
        <v>1008</v>
      </c>
      <c r="B11" s="20" t="s">
        <v>155</v>
      </c>
      <c r="C11" s="32" t="s">
        <v>179</v>
      </c>
      <c r="D11" s="29">
        <v>0</v>
      </c>
      <c r="E11" s="29">
        <v>333</v>
      </c>
      <c r="F11" s="29">
        <v>15</v>
      </c>
      <c r="G11" s="29">
        <v>4</v>
      </c>
      <c r="H11" s="29">
        <v>0.2</v>
      </c>
      <c r="I11" s="29">
        <v>78.900000000000006</v>
      </c>
      <c r="J11" s="29">
        <v>0.5</v>
      </c>
      <c r="K11" s="29">
        <v>1.4</v>
      </c>
      <c r="L11" s="29">
        <v>20</v>
      </c>
      <c r="M11" s="29">
        <v>65</v>
      </c>
      <c r="N11" s="29">
        <v>0.3</v>
      </c>
      <c r="O11" s="30"/>
      <c r="P11" s="29">
        <v>0</v>
      </c>
      <c r="Q11" s="30"/>
      <c r="R11" s="29" t="s">
        <v>180</v>
      </c>
      <c r="S11" s="29" t="s">
        <v>180</v>
      </c>
      <c r="T11" s="33"/>
      <c r="U11" s="20" t="s">
        <v>155</v>
      </c>
      <c r="AA11" s="25" t="s">
        <v>157</v>
      </c>
      <c r="AB11" s="34" t="s">
        <v>117</v>
      </c>
    </row>
    <row r="12" spans="1:251" ht="15" customHeight="1">
      <c r="A12" s="28">
        <v>1010</v>
      </c>
      <c r="B12" s="20" t="s">
        <v>155</v>
      </c>
      <c r="C12" s="20" t="s">
        <v>14</v>
      </c>
      <c r="D12" s="29">
        <v>0</v>
      </c>
      <c r="E12" s="29">
        <v>249</v>
      </c>
      <c r="F12" s="29">
        <v>37.200000000000003</v>
      </c>
      <c r="G12" s="29">
        <v>7.9</v>
      </c>
      <c r="H12" s="29">
        <v>0.8</v>
      </c>
      <c r="I12" s="29">
        <v>52.6</v>
      </c>
      <c r="J12" s="29">
        <v>0.2</v>
      </c>
      <c r="K12" s="29">
        <v>1.3</v>
      </c>
      <c r="L12" s="29">
        <v>28</v>
      </c>
      <c r="M12" s="29">
        <v>164</v>
      </c>
      <c r="N12" s="29">
        <v>2</v>
      </c>
      <c r="O12" s="30"/>
      <c r="P12" s="29">
        <v>0</v>
      </c>
      <c r="Q12" s="29">
        <v>0.1</v>
      </c>
      <c r="R12" s="30"/>
      <c r="S12" s="29">
        <v>0.1</v>
      </c>
      <c r="T12" s="31">
        <v>0.7</v>
      </c>
      <c r="U12" s="20" t="s">
        <v>155</v>
      </c>
      <c r="AA12" s="26" t="s">
        <v>158</v>
      </c>
      <c r="AB12" s="34" t="s">
        <v>181</v>
      </c>
    </row>
    <row r="13" spans="1:251" ht="15.75" customHeight="1">
      <c r="A13" s="28">
        <v>1011</v>
      </c>
      <c r="B13" s="20" t="s">
        <v>155</v>
      </c>
      <c r="C13" s="20" t="s">
        <v>182</v>
      </c>
      <c r="D13" s="29">
        <v>0</v>
      </c>
      <c r="E13" s="29">
        <v>141</v>
      </c>
      <c r="F13" s="29">
        <v>64.3</v>
      </c>
      <c r="G13" s="29">
        <v>3.2</v>
      </c>
      <c r="H13" s="30"/>
      <c r="I13" s="29">
        <v>32.1</v>
      </c>
      <c r="J13" s="30"/>
      <c r="K13" s="29">
        <v>0.4</v>
      </c>
      <c r="L13" s="29">
        <v>16</v>
      </c>
      <c r="M13" s="29">
        <v>64</v>
      </c>
      <c r="N13" s="29">
        <v>0.3</v>
      </c>
      <c r="O13" s="30"/>
      <c r="P13" s="30"/>
      <c r="Q13" s="30"/>
      <c r="R13" s="30"/>
      <c r="S13" s="30"/>
      <c r="T13" s="33"/>
      <c r="U13" s="20" t="s">
        <v>155</v>
      </c>
      <c r="AA13" s="25" t="s">
        <v>159</v>
      </c>
      <c r="AB13" s="34" t="s">
        <v>183</v>
      </c>
    </row>
    <row r="14" spans="1:251" ht="15.6">
      <c r="A14" s="28">
        <v>1014</v>
      </c>
      <c r="B14" s="20" t="s">
        <v>155</v>
      </c>
      <c r="C14" s="20" t="s">
        <v>184</v>
      </c>
      <c r="D14" s="29">
        <v>0</v>
      </c>
      <c r="E14" s="29">
        <v>362</v>
      </c>
      <c r="F14" s="29">
        <v>10</v>
      </c>
      <c r="G14" s="29">
        <v>8.1999999999999993</v>
      </c>
      <c r="H14" s="29">
        <v>1.6</v>
      </c>
      <c r="I14" s="29">
        <v>78.8</v>
      </c>
      <c r="J14" s="29">
        <v>0.6</v>
      </c>
      <c r="K14" s="29">
        <v>0.8</v>
      </c>
      <c r="L14" s="29">
        <v>12</v>
      </c>
      <c r="M14" s="29">
        <v>148</v>
      </c>
      <c r="N14" s="29">
        <v>0.8</v>
      </c>
      <c r="O14" s="30"/>
      <c r="P14" s="29">
        <v>0</v>
      </c>
      <c r="Q14" s="29">
        <v>0.1</v>
      </c>
      <c r="R14" s="30"/>
      <c r="S14" s="29">
        <v>0</v>
      </c>
      <c r="T14" s="31">
        <v>1.7</v>
      </c>
      <c r="U14" s="20" t="s">
        <v>155</v>
      </c>
      <c r="AA14" s="25" t="s">
        <v>160</v>
      </c>
      <c r="AB14" s="35" t="s">
        <v>185</v>
      </c>
    </row>
    <row r="15" spans="1:251" ht="15.75" customHeight="1">
      <c r="A15" s="28">
        <v>1015</v>
      </c>
      <c r="B15" s="20" t="s">
        <v>155</v>
      </c>
      <c r="C15" s="20" t="s">
        <v>186</v>
      </c>
      <c r="D15" s="29">
        <v>0</v>
      </c>
      <c r="E15" s="29">
        <v>359</v>
      </c>
      <c r="F15" s="29">
        <v>10</v>
      </c>
      <c r="G15" s="29">
        <v>6.6</v>
      </c>
      <c r="H15" s="29">
        <v>0.4</v>
      </c>
      <c r="I15" s="29">
        <v>82.2</v>
      </c>
      <c r="J15" s="29">
        <v>0.4</v>
      </c>
      <c r="K15" s="29">
        <v>0.4</v>
      </c>
      <c r="L15" s="29">
        <v>24</v>
      </c>
      <c r="M15" s="29">
        <v>135</v>
      </c>
      <c r="N15" s="29">
        <v>1.9</v>
      </c>
      <c r="O15" s="30"/>
      <c r="P15" s="29">
        <v>0</v>
      </c>
      <c r="Q15" s="29">
        <v>0.1</v>
      </c>
      <c r="R15" s="30"/>
      <c r="S15" s="29">
        <v>0.1</v>
      </c>
      <c r="T15" s="31">
        <v>2.1</v>
      </c>
      <c r="U15" s="20" t="s">
        <v>155</v>
      </c>
      <c r="AA15" s="25" t="s">
        <v>161</v>
      </c>
      <c r="AB15" s="35" t="s">
        <v>187</v>
      </c>
    </row>
    <row r="16" spans="1:251" ht="15.6">
      <c r="A16" s="28">
        <v>1016</v>
      </c>
      <c r="B16" s="20" t="s">
        <v>155</v>
      </c>
      <c r="C16" s="20" t="s">
        <v>188</v>
      </c>
      <c r="D16" s="29">
        <v>0</v>
      </c>
      <c r="E16" s="29">
        <v>346</v>
      </c>
      <c r="F16" s="29">
        <v>14</v>
      </c>
      <c r="G16" s="29">
        <v>11</v>
      </c>
      <c r="H16" s="29">
        <v>1.1000000000000001</v>
      </c>
      <c r="I16" s="29">
        <v>72.900000000000006</v>
      </c>
      <c r="J16" s="29">
        <v>0.3</v>
      </c>
      <c r="K16" s="29">
        <v>0.7</v>
      </c>
      <c r="L16" s="29">
        <v>29</v>
      </c>
      <c r="M16" s="29">
        <v>132</v>
      </c>
      <c r="N16" s="29">
        <v>2</v>
      </c>
      <c r="O16" s="30"/>
      <c r="P16" s="29">
        <v>0</v>
      </c>
      <c r="Q16" s="29">
        <v>0.2</v>
      </c>
      <c r="R16" s="30"/>
      <c r="S16" s="29">
        <v>0.1</v>
      </c>
      <c r="T16" s="31">
        <v>1</v>
      </c>
      <c r="U16" s="20" t="s">
        <v>155</v>
      </c>
      <c r="AA16" s="25" t="s">
        <v>162</v>
      </c>
      <c r="AB16" s="35" t="s">
        <v>189</v>
      </c>
    </row>
    <row r="17" spans="1:28" ht="15.6">
      <c r="A17" s="28">
        <v>1018</v>
      </c>
      <c r="B17" s="20" t="s">
        <v>155</v>
      </c>
      <c r="C17" s="20" t="s">
        <v>5</v>
      </c>
      <c r="D17" s="29">
        <v>0</v>
      </c>
      <c r="E17" s="29">
        <v>110</v>
      </c>
      <c r="F17" s="29">
        <v>72</v>
      </c>
      <c r="G17" s="29">
        <v>1.7</v>
      </c>
      <c r="H17" s="30"/>
      <c r="I17" s="29">
        <v>25.7</v>
      </c>
      <c r="J17" s="29">
        <v>0.5</v>
      </c>
      <c r="K17" s="29">
        <v>0.1</v>
      </c>
      <c r="L17" s="29">
        <v>12</v>
      </c>
      <c r="M17" s="29">
        <v>32</v>
      </c>
      <c r="N17" s="29">
        <v>0.2</v>
      </c>
      <c r="O17" s="30"/>
      <c r="P17" s="29">
        <v>0</v>
      </c>
      <c r="Q17" s="29">
        <v>0</v>
      </c>
      <c r="R17" s="30"/>
      <c r="S17" s="29">
        <v>0</v>
      </c>
      <c r="T17" s="31">
        <v>1.3</v>
      </c>
      <c r="U17" s="20" t="s">
        <v>155</v>
      </c>
      <c r="AA17" s="27" t="s">
        <v>163</v>
      </c>
      <c r="AB17" s="4" t="s">
        <v>122</v>
      </c>
    </row>
    <row r="18" spans="1:28" ht="15.6">
      <c r="A18" s="28">
        <v>1020</v>
      </c>
      <c r="B18" s="20" t="s">
        <v>155</v>
      </c>
      <c r="C18" s="32" t="s">
        <v>190</v>
      </c>
      <c r="D18" s="29">
        <v>0</v>
      </c>
      <c r="E18" s="29">
        <v>349</v>
      </c>
      <c r="F18" s="29">
        <v>13</v>
      </c>
      <c r="G18" s="29">
        <v>11</v>
      </c>
      <c r="H18" s="29">
        <v>0.9</v>
      </c>
      <c r="I18" s="29">
        <v>74.2</v>
      </c>
      <c r="J18" s="29">
        <v>0.3</v>
      </c>
      <c r="K18" s="29">
        <v>0.6</v>
      </c>
      <c r="L18" s="29">
        <v>34</v>
      </c>
      <c r="M18" s="29">
        <v>97</v>
      </c>
      <c r="N18" s="29">
        <v>1.5</v>
      </c>
      <c r="O18" s="30"/>
      <c r="P18" s="30"/>
      <c r="Q18" s="29">
        <v>0.1</v>
      </c>
      <c r="R18" s="30"/>
      <c r="S18" s="29">
        <v>0</v>
      </c>
      <c r="T18" s="31">
        <v>1.1000000000000001</v>
      </c>
      <c r="U18" s="20" t="s">
        <v>155</v>
      </c>
      <c r="AA18" s="27" t="s">
        <v>164</v>
      </c>
      <c r="AB18" s="4" t="s">
        <v>123</v>
      </c>
    </row>
    <row r="19" spans="1:28" ht="15.6">
      <c r="A19" s="28">
        <v>1021</v>
      </c>
      <c r="B19" s="20" t="s">
        <v>155</v>
      </c>
      <c r="C19" s="20" t="s">
        <v>191</v>
      </c>
      <c r="D19" s="29">
        <v>50</v>
      </c>
      <c r="E19" s="29">
        <v>167</v>
      </c>
      <c r="F19" s="29">
        <v>59</v>
      </c>
      <c r="G19" s="29">
        <v>3.9</v>
      </c>
      <c r="H19" s="29">
        <v>2.2000000000000002</v>
      </c>
      <c r="I19" s="29">
        <v>32.9</v>
      </c>
      <c r="J19" s="29">
        <v>1.2</v>
      </c>
      <c r="K19" s="29">
        <v>0.8</v>
      </c>
      <c r="L19" s="29">
        <v>18</v>
      </c>
      <c r="M19" s="29">
        <v>146</v>
      </c>
      <c r="N19" s="29">
        <v>0.8</v>
      </c>
      <c r="O19" s="30"/>
      <c r="P19" s="30"/>
      <c r="Q19" s="30"/>
      <c r="R19" s="30"/>
      <c r="S19" s="30"/>
      <c r="T19" s="33"/>
      <c r="U19" s="20" t="s">
        <v>155</v>
      </c>
      <c r="AA19" s="27" t="s">
        <v>165</v>
      </c>
      <c r="AB19" s="4" t="s">
        <v>124</v>
      </c>
    </row>
    <row r="20" spans="1:28" ht="15.6">
      <c r="A20" s="28">
        <v>2009</v>
      </c>
      <c r="B20" s="20" t="s">
        <v>155</v>
      </c>
      <c r="C20" s="20" t="s">
        <v>192</v>
      </c>
      <c r="D20" s="29">
        <v>13</v>
      </c>
      <c r="E20" s="29">
        <v>116</v>
      </c>
      <c r="F20" s="29">
        <v>69.900000000000006</v>
      </c>
      <c r="G20" s="29">
        <v>1.2</v>
      </c>
      <c r="H20" s="29">
        <v>0.3</v>
      </c>
      <c r="I20" s="29">
        <v>27.1</v>
      </c>
      <c r="J20" s="29">
        <v>0.8</v>
      </c>
      <c r="K20" s="29">
        <v>0.7</v>
      </c>
      <c r="L20" s="29">
        <v>36</v>
      </c>
      <c r="M20" s="29">
        <v>56</v>
      </c>
      <c r="N20" s="29">
        <v>0.9</v>
      </c>
      <c r="O20" s="30"/>
      <c r="P20" s="29" t="s">
        <v>193</v>
      </c>
      <c r="Q20" s="29">
        <v>0.1</v>
      </c>
      <c r="R20" s="29">
        <v>0.1</v>
      </c>
      <c r="S20" s="29">
        <v>0.6</v>
      </c>
      <c r="T20" s="31">
        <v>30</v>
      </c>
      <c r="U20" s="20" t="s">
        <v>155</v>
      </c>
      <c r="AA20" s="27" t="s">
        <v>166</v>
      </c>
      <c r="AB20" s="4" t="s">
        <v>125</v>
      </c>
    </row>
    <row r="21" spans="1:28" ht="15.6">
      <c r="A21" s="28">
        <v>2013</v>
      </c>
      <c r="B21" s="20" t="s">
        <v>155</v>
      </c>
      <c r="C21" s="20" t="s">
        <v>194</v>
      </c>
      <c r="D21" s="29">
        <v>18</v>
      </c>
      <c r="E21" s="29">
        <v>114</v>
      </c>
      <c r="F21" s="29">
        <v>69</v>
      </c>
      <c r="G21" s="29">
        <v>1.8</v>
      </c>
      <c r="H21" s="29">
        <v>0.1</v>
      </c>
      <c r="I21" s="29">
        <v>26.5</v>
      </c>
      <c r="J21" s="29">
        <v>1.2</v>
      </c>
      <c r="K21" s="29">
        <v>1.4</v>
      </c>
      <c r="L21" s="29">
        <v>64</v>
      </c>
      <c r="M21" s="29">
        <v>75</v>
      </c>
      <c r="N21" s="29">
        <v>1.5</v>
      </c>
      <c r="O21" s="30"/>
      <c r="P21" s="29">
        <v>10</v>
      </c>
      <c r="Q21" s="29">
        <v>0.1</v>
      </c>
      <c r="R21" s="29">
        <v>0</v>
      </c>
      <c r="S21" s="29">
        <v>0.1</v>
      </c>
      <c r="T21" s="31">
        <v>4</v>
      </c>
      <c r="U21" s="20" t="s">
        <v>155</v>
      </c>
      <c r="AA21" s="27" t="s">
        <v>167</v>
      </c>
      <c r="AB21" s="4" t="s">
        <v>126</v>
      </c>
    </row>
    <row r="22" spans="1:28" ht="15.6">
      <c r="A22" s="28">
        <v>2014</v>
      </c>
      <c r="B22" s="20" t="s">
        <v>155</v>
      </c>
      <c r="C22" s="20" t="s">
        <v>92</v>
      </c>
      <c r="D22" s="29">
        <v>32</v>
      </c>
      <c r="E22" s="29">
        <v>92</v>
      </c>
      <c r="F22" s="29">
        <v>75</v>
      </c>
      <c r="G22" s="29">
        <v>2</v>
      </c>
      <c r="H22" s="30"/>
      <c r="I22" s="29">
        <v>21</v>
      </c>
      <c r="J22" s="29">
        <v>1</v>
      </c>
      <c r="K22" s="29">
        <v>1</v>
      </c>
      <c r="L22" s="29">
        <v>10</v>
      </c>
      <c r="M22" s="29">
        <v>50</v>
      </c>
      <c r="N22" s="29">
        <v>1.2</v>
      </c>
      <c r="O22" s="30"/>
      <c r="P22" s="29">
        <v>29</v>
      </c>
      <c r="Q22" s="29">
        <v>0.1</v>
      </c>
      <c r="R22" s="29">
        <v>0.1</v>
      </c>
      <c r="S22" s="29">
        <v>0.9</v>
      </c>
      <c r="T22" s="31">
        <v>10</v>
      </c>
      <c r="U22" s="20" t="s">
        <v>155</v>
      </c>
      <c r="AA22" s="27" t="s">
        <v>168</v>
      </c>
      <c r="AB22" s="4" t="s">
        <v>195</v>
      </c>
    </row>
    <row r="23" spans="1:28" ht="15.6">
      <c r="A23" s="28">
        <v>2015</v>
      </c>
      <c r="B23" s="20" t="s">
        <v>155</v>
      </c>
      <c r="C23" s="20" t="s">
        <v>196</v>
      </c>
      <c r="D23" s="29">
        <v>0</v>
      </c>
      <c r="E23" s="29">
        <v>332</v>
      </c>
      <c r="F23" s="29">
        <v>14.5</v>
      </c>
      <c r="G23" s="29">
        <v>0.6</v>
      </c>
      <c r="H23" s="29">
        <v>0.1</v>
      </c>
      <c r="I23" s="29">
        <v>82.2</v>
      </c>
      <c r="J23" s="29">
        <v>1.5</v>
      </c>
      <c r="K23" s="29">
        <v>1.1000000000000001</v>
      </c>
      <c r="L23" s="29">
        <v>40</v>
      </c>
      <c r="M23" s="29">
        <v>120</v>
      </c>
      <c r="N23" s="29">
        <v>1</v>
      </c>
      <c r="O23" s="30"/>
      <c r="P23" s="30"/>
      <c r="Q23" s="30"/>
      <c r="R23" s="30"/>
      <c r="S23" s="30"/>
      <c r="T23" s="33"/>
      <c r="U23" s="20" t="s">
        <v>155</v>
      </c>
      <c r="AA23" s="27" t="s">
        <v>169</v>
      </c>
      <c r="AB23" s="4" t="s">
        <v>197</v>
      </c>
    </row>
    <row r="24" spans="1:28" ht="15.6">
      <c r="A24" s="28">
        <v>2021</v>
      </c>
      <c r="B24" s="20" t="s">
        <v>155</v>
      </c>
      <c r="C24" s="20" t="s">
        <v>198</v>
      </c>
      <c r="D24" s="29">
        <v>0</v>
      </c>
      <c r="E24" s="29">
        <v>340</v>
      </c>
      <c r="F24" s="29">
        <v>14</v>
      </c>
      <c r="G24" s="29">
        <v>0.7</v>
      </c>
      <c r="H24" s="30"/>
      <c r="I24" s="29">
        <v>84.3</v>
      </c>
      <c r="J24" s="29">
        <v>0.8</v>
      </c>
      <c r="K24" s="29">
        <v>0.2</v>
      </c>
      <c r="L24" s="29">
        <v>18</v>
      </c>
      <c r="M24" s="29">
        <v>20</v>
      </c>
      <c r="N24" s="29">
        <v>1.5</v>
      </c>
      <c r="O24" s="30"/>
      <c r="P24" s="30"/>
      <c r="Q24" s="29">
        <v>0</v>
      </c>
      <c r="R24" s="30"/>
      <c r="S24" s="30"/>
      <c r="T24" s="33"/>
      <c r="U24" s="20" t="s">
        <v>155</v>
      </c>
      <c r="AA24" s="27" t="s">
        <v>170</v>
      </c>
      <c r="AB24" s="4" t="s">
        <v>128</v>
      </c>
    </row>
    <row r="25" spans="1:28" ht="15.6">
      <c r="A25" s="28">
        <v>3001</v>
      </c>
      <c r="B25" s="20" t="s">
        <v>155</v>
      </c>
      <c r="C25" s="20" t="s">
        <v>199</v>
      </c>
      <c r="D25" s="29">
        <v>20</v>
      </c>
      <c r="E25" s="29">
        <v>368</v>
      </c>
      <c r="F25" s="29">
        <v>47.6</v>
      </c>
      <c r="G25" s="29">
        <v>4.8</v>
      </c>
      <c r="H25" s="29">
        <v>36</v>
      </c>
      <c r="I25" s="29">
        <v>6.2</v>
      </c>
      <c r="J25" s="29">
        <v>4.2</v>
      </c>
      <c r="K25" s="29">
        <v>1.2</v>
      </c>
      <c r="L25" s="29">
        <v>30</v>
      </c>
      <c r="M25" s="29">
        <v>154</v>
      </c>
      <c r="N25" s="29">
        <v>2</v>
      </c>
      <c r="O25" s="30"/>
      <c r="P25" s="30"/>
      <c r="Q25" s="29">
        <v>0.1</v>
      </c>
      <c r="R25" s="30"/>
      <c r="S25" s="29">
        <v>0.2</v>
      </c>
      <c r="T25" s="31">
        <v>2</v>
      </c>
      <c r="U25" s="20" t="s">
        <v>155</v>
      </c>
      <c r="AA25" s="27" t="s">
        <v>171</v>
      </c>
      <c r="AB25" s="4" t="s">
        <v>200</v>
      </c>
    </row>
    <row r="26" spans="1:28" ht="15.6">
      <c r="A26" s="28">
        <v>3004</v>
      </c>
      <c r="B26" s="20" t="s">
        <v>167</v>
      </c>
      <c r="C26" s="20" t="s">
        <v>201</v>
      </c>
      <c r="D26" s="29">
        <v>2</v>
      </c>
      <c r="E26" s="29">
        <v>325</v>
      </c>
      <c r="F26" s="29">
        <v>14</v>
      </c>
      <c r="G26" s="29">
        <v>24.2</v>
      </c>
      <c r="H26" s="29">
        <v>1.7</v>
      </c>
      <c r="I26" s="29">
        <v>53.3</v>
      </c>
      <c r="J26" s="29">
        <v>4</v>
      </c>
      <c r="K26" s="29">
        <v>2.8</v>
      </c>
      <c r="L26" s="29">
        <v>56</v>
      </c>
      <c r="M26" s="29">
        <v>354</v>
      </c>
      <c r="N26" s="29">
        <v>6.1</v>
      </c>
      <c r="O26" s="30"/>
      <c r="P26" s="29">
        <v>30</v>
      </c>
      <c r="Q26" s="29">
        <v>0.5</v>
      </c>
      <c r="R26" s="29">
        <v>0.2</v>
      </c>
      <c r="S26" s="29">
        <v>1.8</v>
      </c>
      <c r="T26" s="31">
        <v>3</v>
      </c>
      <c r="U26" s="20" t="s">
        <v>167</v>
      </c>
      <c r="AA26" s="27" t="s">
        <v>172</v>
      </c>
      <c r="AB26" s="4" t="s">
        <v>130</v>
      </c>
    </row>
    <row r="27" spans="1:28" ht="15.6">
      <c r="A27" s="28">
        <v>3007</v>
      </c>
      <c r="B27" s="20" t="s">
        <v>167</v>
      </c>
      <c r="C27" s="20" t="s">
        <v>202</v>
      </c>
      <c r="D27" s="29">
        <v>2</v>
      </c>
      <c r="E27" s="29">
        <v>400</v>
      </c>
      <c r="F27" s="29">
        <v>14</v>
      </c>
      <c r="G27" s="29">
        <v>34</v>
      </c>
      <c r="H27" s="29">
        <v>18.399999999999999</v>
      </c>
      <c r="I27" s="29">
        <v>24.6</v>
      </c>
      <c r="J27" s="29">
        <v>4.5</v>
      </c>
      <c r="K27" s="29">
        <v>4.5</v>
      </c>
      <c r="L27" s="29">
        <v>165</v>
      </c>
      <c r="M27" s="29">
        <v>690</v>
      </c>
      <c r="N27" s="29">
        <v>11</v>
      </c>
      <c r="O27" s="30"/>
      <c r="P27" s="29">
        <v>30</v>
      </c>
      <c r="Q27" s="29">
        <v>0.5</v>
      </c>
      <c r="R27" s="29">
        <v>0.3</v>
      </c>
      <c r="S27" s="29">
        <v>2.2999999999999998</v>
      </c>
      <c r="T27" s="31">
        <v>4</v>
      </c>
      <c r="U27" s="20" t="s">
        <v>167</v>
      </c>
      <c r="AA27" s="27" t="s">
        <v>173</v>
      </c>
      <c r="AB27" s="4" t="s">
        <v>131</v>
      </c>
    </row>
    <row r="28" spans="1:28" ht="15.6">
      <c r="A28" s="28">
        <v>3010</v>
      </c>
      <c r="B28" s="20" t="s">
        <v>167</v>
      </c>
      <c r="C28" s="32" t="s">
        <v>203</v>
      </c>
      <c r="D28" s="29">
        <v>2</v>
      </c>
      <c r="E28" s="29">
        <v>328</v>
      </c>
      <c r="F28" s="29">
        <v>14</v>
      </c>
      <c r="G28" s="29">
        <v>23.4</v>
      </c>
      <c r="H28" s="29">
        <v>2.4</v>
      </c>
      <c r="I28" s="29">
        <v>53.1</v>
      </c>
      <c r="J28" s="29">
        <v>4.7</v>
      </c>
      <c r="K28" s="29">
        <v>2.4</v>
      </c>
      <c r="L28" s="29">
        <v>64</v>
      </c>
      <c r="M28" s="29">
        <v>377</v>
      </c>
      <c r="N28" s="29">
        <v>4.8</v>
      </c>
      <c r="O28" s="30"/>
      <c r="P28" s="29">
        <v>30</v>
      </c>
      <c r="Q28" s="29">
        <v>0.7</v>
      </c>
      <c r="R28" s="29">
        <v>0.2</v>
      </c>
      <c r="S28" s="29">
        <v>2.4</v>
      </c>
      <c r="T28" s="31">
        <v>4</v>
      </c>
      <c r="U28" s="20" t="s">
        <v>167</v>
      </c>
      <c r="AA28" s="27" t="s">
        <v>174</v>
      </c>
      <c r="AB28" s="4" t="s">
        <v>204</v>
      </c>
    </row>
    <row r="29" spans="1:28" ht="15.6">
      <c r="A29" s="28">
        <v>3018</v>
      </c>
      <c r="B29" s="20" t="s">
        <v>166</v>
      </c>
      <c r="C29" s="20" t="s">
        <v>205</v>
      </c>
      <c r="D29" s="29">
        <v>5</v>
      </c>
      <c r="E29" s="29">
        <v>568</v>
      </c>
      <c r="F29" s="29">
        <v>7.6</v>
      </c>
      <c r="G29" s="29">
        <v>20.100000000000001</v>
      </c>
      <c r="H29" s="29">
        <v>46.4</v>
      </c>
      <c r="I29" s="29">
        <v>17.600000000000001</v>
      </c>
      <c r="J29" s="29">
        <v>3.5</v>
      </c>
      <c r="K29" s="29">
        <v>4.8</v>
      </c>
      <c r="L29" s="29" t="s">
        <v>206</v>
      </c>
      <c r="M29" s="29">
        <v>379</v>
      </c>
      <c r="N29" s="29">
        <v>10</v>
      </c>
      <c r="O29" s="30"/>
      <c r="P29" s="29">
        <v>15</v>
      </c>
      <c r="Q29" s="29">
        <v>0.3</v>
      </c>
      <c r="R29" s="29">
        <v>0.2</v>
      </c>
      <c r="S29" s="29">
        <v>4.5</v>
      </c>
      <c r="T29" s="33"/>
      <c r="U29" s="20" t="s">
        <v>166</v>
      </c>
      <c r="AA29" s="27" t="s">
        <v>175</v>
      </c>
      <c r="AB29" s="4" t="s">
        <v>133</v>
      </c>
    </row>
    <row r="30" spans="1:28" ht="15.6">
      <c r="A30" s="28">
        <v>3015</v>
      </c>
      <c r="B30" s="20" t="s">
        <v>166</v>
      </c>
      <c r="C30" s="20" t="s">
        <v>207</v>
      </c>
      <c r="D30" s="29">
        <v>2</v>
      </c>
      <c r="E30" s="29">
        <v>573</v>
      </c>
      <c r="F30" s="29">
        <v>7.5</v>
      </c>
      <c r="G30" s="29">
        <v>27.5</v>
      </c>
      <c r="H30" s="29">
        <v>44.5</v>
      </c>
      <c r="I30" s="29">
        <v>15.5</v>
      </c>
      <c r="J30" s="29">
        <v>2.5</v>
      </c>
      <c r="K30" s="29">
        <v>2.5</v>
      </c>
      <c r="L30" s="29">
        <v>68</v>
      </c>
      <c r="M30" s="29">
        <v>420</v>
      </c>
      <c r="N30" s="29">
        <v>2.2000000000000002</v>
      </c>
      <c r="O30" s="30"/>
      <c r="P30" s="29">
        <v>10</v>
      </c>
      <c r="Q30" s="29">
        <v>0.4</v>
      </c>
      <c r="R30" s="29">
        <v>0.1</v>
      </c>
      <c r="S30" s="29">
        <v>16</v>
      </c>
      <c r="T30" s="33"/>
      <c r="U30" s="20" t="s">
        <v>166</v>
      </c>
      <c r="AA30" s="27" t="s">
        <v>176</v>
      </c>
      <c r="AB30" s="4" t="s">
        <v>134</v>
      </c>
    </row>
    <row r="31" spans="1:28" ht="15.6">
      <c r="A31" s="28">
        <v>3023</v>
      </c>
      <c r="B31" s="20" t="s">
        <v>164</v>
      </c>
      <c r="C31" s="32" t="s">
        <v>123</v>
      </c>
      <c r="D31" s="29">
        <v>0</v>
      </c>
      <c r="E31" s="29">
        <v>95</v>
      </c>
      <c r="F31" s="29">
        <v>82</v>
      </c>
      <c r="G31" s="29">
        <v>10.9</v>
      </c>
      <c r="H31" s="29">
        <v>5.4</v>
      </c>
      <c r="I31" s="29">
        <v>0.7</v>
      </c>
      <c r="J31" s="29">
        <v>0.4</v>
      </c>
      <c r="K31" s="29">
        <v>0.6</v>
      </c>
      <c r="L31" s="29">
        <v>24</v>
      </c>
      <c r="M31" s="29">
        <v>85</v>
      </c>
      <c r="N31" s="29">
        <v>2.2000000000000002</v>
      </c>
      <c r="O31" s="30"/>
      <c r="P31" s="30"/>
      <c r="Q31" s="29">
        <v>0</v>
      </c>
      <c r="R31" s="29">
        <v>0</v>
      </c>
      <c r="S31" s="29">
        <v>0.4</v>
      </c>
      <c r="T31" s="33"/>
      <c r="U31" s="20" t="s">
        <v>164</v>
      </c>
      <c r="AA31" s="27" t="s">
        <v>177</v>
      </c>
      <c r="AB31" s="4" t="s">
        <v>135</v>
      </c>
    </row>
    <row r="32" spans="1:28" ht="15.6">
      <c r="A32" s="28">
        <v>4001</v>
      </c>
      <c r="B32" s="20" t="s">
        <v>169</v>
      </c>
      <c r="C32" s="20" t="s">
        <v>208</v>
      </c>
      <c r="D32" s="29">
        <v>16</v>
      </c>
      <c r="E32" s="29">
        <v>14</v>
      </c>
      <c r="F32" s="29">
        <v>95.1</v>
      </c>
      <c r="G32" s="29">
        <v>0.6</v>
      </c>
      <c r="H32" s="30"/>
      <c r="I32" s="29">
        <v>2.9</v>
      </c>
      <c r="J32" s="29">
        <v>1</v>
      </c>
      <c r="K32" s="29">
        <v>0.4</v>
      </c>
      <c r="L32" s="29">
        <v>21</v>
      </c>
      <c r="M32" s="29">
        <v>25</v>
      </c>
      <c r="N32" s="29">
        <v>0.2</v>
      </c>
      <c r="O32" s="30"/>
      <c r="P32" s="29">
        <v>10</v>
      </c>
      <c r="Q32" s="29">
        <v>0</v>
      </c>
      <c r="R32" s="29">
        <v>0</v>
      </c>
      <c r="S32" s="29">
        <v>0.4</v>
      </c>
      <c r="T32" s="31">
        <v>12</v>
      </c>
      <c r="U32" s="20" t="s">
        <v>169</v>
      </c>
    </row>
    <row r="33" spans="1:21" ht="15.6">
      <c r="A33" s="28">
        <v>4002</v>
      </c>
      <c r="B33" s="20" t="s">
        <v>169</v>
      </c>
      <c r="C33" s="20" t="s">
        <v>209</v>
      </c>
      <c r="D33" s="29">
        <v>27</v>
      </c>
      <c r="E33" s="29">
        <v>12</v>
      </c>
      <c r="F33" s="29">
        <v>95.5</v>
      </c>
      <c r="G33" s="29">
        <v>0.6</v>
      </c>
      <c r="H33" s="30"/>
      <c r="I33" s="29">
        <v>2.4</v>
      </c>
      <c r="J33" s="29">
        <v>1</v>
      </c>
      <c r="K33" s="29">
        <v>0.5</v>
      </c>
      <c r="L33" s="29">
        <v>26</v>
      </c>
      <c r="M33" s="29">
        <v>23</v>
      </c>
      <c r="N33" s="29">
        <v>0.3</v>
      </c>
      <c r="O33" s="30"/>
      <c r="P33" s="29">
        <v>5</v>
      </c>
      <c r="Q33" s="29">
        <v>0</v>
      </c>
      <c r="R33" s="29">
        <v>0</v>
      </c>
      <c r="S33" s="29">
        <v>0.3</v>
      </c>
      <c r="T33" s="31">
        <v>16</v>
      </c>
      <c r="U33" s="20" t="s">
        <v>169</v>
      </c>
    </row>
    <row r="34" spans="1:21" ht="15.6">
      <c r="A34" s="28">
        <v>4003</v>
      </c>
      <c r="B34" s="20" t="s">
        <v>169</v>
      </c>
      <c r="C34" s="20" t="s">
        <v>210</v>
      </c>
      <c r="D34" s="29">
        <v>14</v>
      </c>
      <c r="E34" s="29">
        <v>24</v>
      </c>
      <c r="F34" s="29">
        <v>92</v>
      </c>
      <c r="G34" s="29">
        <v>0.3</v>
      </c>
      <c r="H34" s="30"/>
      <c r="I34" s="29">
        <v>5.6</v>
      </c>
      <c r="J34" s="29">
        <v>0.7</v>
      </c>
      <c r="K34" s="29">
        <v>0.8</v>
      </c>
      <c r="L34" s="29">
        <v>24</v>
      </c>
      <c r="M34" s="29">
        <v>16</v>
      </c>
      <c r="N34" s="29">
        <v>0.5</v>
      </c>
      <c r="O34" s="30"/>
      <c r="P34" s="29">
        <v>960</v>
      </c>
      <c r="Q34" s="29">
        <v>0.1</v>
      </c>
      <c r="R34" s="29">
        <v>0</v>
      </c>
      <c r="S34" s="29">
        <v>0.4</v>
      </c>
      <c r="T34" s="31">
        <v>8</v>
      </c>
      <c r="U34" s="20" t="s">
        <v>169</v>
      </c>
    </row>
    <row r="35" spans="1:21" ht="15.6">
      <c r="A35" s="28">
        <v>4004</v>
      </c>
      <c r="B35" s="20" t="s">
        <v>169</v>
      </c>
      <c r="C35" s="20" t="s">
        <v>211</v>
      </c>
      <c r="D35" s="29">
        <v>5</v>
      </c>
      <c r="E35" s="29">
        <v>22</v>
      </c>
      <c r="F35" s="29">
        <v>92.5</v>
      </c>
      <c r="G35" s="29">
        <v>1.2</v>
      </c>
      <c r="H35" s="30"/>
      <c r="I35" s="29">
        <v>4.2</v>
      </c>
      <c r="J35" s="29">
        <v>1.5</v>
      </c>
      <c r="K35" s="29">
        <v>0.6</v>
      </c>
      <c r="L35" s="29">
        <v>12</v>
      </c>
      <c r="M35" s="29">
        <v>16</v>
      </c>
      <c r="N35" s="29">
        <v>0.7</v>
      </c>
      <c r="O35" s="30"/>
      <c r="P35" s="29">
        <v>40</v>
      </c>
      <c r="Q35" s="29">
        <v>0</v>
      </c>
      <c r="R35" s="29">
        <v>0</v>
      </c>
      <c r="S35" s="29">
        <v>0.5</v>
      </c>
      <c r="T35" s="31">
        <v>3</v>
      </c>
      <c r="U35" s="20" t="s">
        <v>169</v>
      </c>
    </row>
    <row r="36" spans="1:21" ht="15.6">
      <c r="A36" s="36">
        <v>4004</v>
      </c>
      <c r="B36" s="20" t="s">
        <v>169</v>
      </c>
      <c r="C36" s="21" t="s">
        <v>212</v>
      </c>
      <c r="D36" s="37">
        <v>5</v>
      </c>
      <c r="E36" s="37">
        <v>22</v>
      </c>
      <c r="F36" s="37">
        <v>92.5</v>
      </c>
      <c r="G36" s="37">
        <v>1.2</v>
      </c>
      <c r="H36" s="38"/>
      <c r="I36" s="37">
        <v>4.2</v>
      </c>
      <c r="J36" s="37">
        <v>1.5</v>
      </c>
      <c r="K36" s="37">
        <v>0.6</v>
      </c>
      <c r="L36" s="37">
        <v>12</v>
      </c>
      <c r="M36" s="37">
        <v>16</v>
      </c>
      <c r="N36" s="37">
        <v>0.7</v>
      </c>
      <c r="O36" s="38"/>
      <c r="P36" s="37">
        <v>40</v>
      </c>
      <c r="Q36" s="37">
        <v>0</v>
      </c>
      <c r="R36" s="37">
        <v>0</v>
      </c>
      <c r="S36" s="37">
        <v>0.5</v>
      </c>
      <c r="T36" s="39">
        <v>3</v>
      </c>
      <c r="U36" s="20" t="s">
        <v>169</v>
      </c>
    </row>
    <row r="37" spans="1:21" ht="15.6">
      <c r="A37" s="28">
        <v>4005</v>
      </c>
      <c r="B37" s="20" t="s">
        <v>169</v>
      </c>
      <c r="C37" s="40" t="s">
        <v>213</v>
      </c>
      <c r="D37" s="29">
        <v>5</v>
      </c>
      <c r="E37" s="29">
        <v>19</v>
      </c>
      <c r="F37" s="29">
        <v>94</v>
      </c>
      <c r="G37" s="29">
        <v>0.6</v>
      </c>
      <c r="H37" s="30"/>
      <c r="I37" s="29">
        <v>4.2</v>
      </c>
      <c r="J37" s="29">
        <v>0.8</v>
      </c>
      <c r="K37" s="29">
        <v>0.4</v>
      </c>
      <c r="L37" s="29">
        <v>12</v>
      </c>
      <c r="M37" s="29">
        <v>26</v>
      </c>
      <c r="N37" s="29">
        <v>1.4</v>
      </c>
      <c r="O37" s="30"/>
      <c r="P37" s="29" t="s">
        <v>214</v>
      </c>
      <c r="Q37" s="29">
        <v>0.1</v>
      </c>
      <c r="R37" s="29">
        <v>0</v>
      </c>
      <c r="S37" s="29">
        <v>0.5</v>
      </c>
      <c r="T37" s="31">
        <v>40</v>
      </c>
      <c r="U37" s="20" t="s">
        <v>169</v>
      </c>
    </row>
    <row r="38" spans="1:21" ht="15.6">
      <c r="A38" s="28">
        <v>4006</v>
      </c>
      <c r="B38" s="20" t="s">
        <v>169</v>
      </c>
      <c r="C38" s="20" t="s">
        <v>215</v>
      </c>
      <c r="D38" s="29">
        <v>10</v>
      </c>
      <c r="E38" s="29">
        <v>20</v>
      </c>
      <c r="F38" s="29">
        <v>92.5</v>
      </c>
      <c r="G38" s="29">
        <v>1.5</v>
      </c>
      <c r="H38" s="30"/>
      <c r="I38" s="29">
        <v>3.6</v>
      </c>
      <c r="J38" s="29">
        <v>1.6</v>
      </c>
      <c r="K38" s="29">
        <v>0.8</v>
      </c>
      <c r="L38" s="29">
        <v>12</v>
      </c>
      <c r="M38" s="29">
        <v>16</v>
      </c>
      <c r="N38" s="29">
        <v>0.7</v>
      </c>
      <c r="O38" s="30"/>
      <c r="P38" s="29">
        <v>20</v>
      </c>
      <c r="Q38" s="29">
        <v>0</v>
      </c>
      <c r="R38" s="29">
        <v>0</v>
      </c>
      <c r="S38" s="29">
        <v>0.5</v>
      </c>
      <c r="T38" s="31">
        <v>3</v>
      </c>
      <c r="U38" s="20" t="s">
        <v>169</v>
      </c>
    </row>
    <row r="39" spans="1:21" ht="15.6">
      <c r="A39" s="28">
        <v>4007</v>
      </c>
      <c r="B39" s="20" t="s">
        <v>169</v>
      </c>
      <c r="C39" s="20" t="s">
        <v>216</v>
      </c>
      <c r="D39" s="29">
        <v>15</v>
      </c>
      <c r="E39" s="29">
        <v>38</v>
      </c>
      <c r="F39" s="29">
        <v>88.5</v>
      </c>
      <c r="G39" s="29">
        <v>1.5</v>
      </c>
      <c r="H39" s="30"/>
      <c r="I39" s="29">
        <v>8</v>
      </c>
      <c r="J39" s="29">
        <v>1.2</v>
      </c>
      <c r="K39" s="29">
        <v>0.8</v>
      </c>
      <c r="L39" s="29">
        <v>43</v>
      </c>
      <c r="M39" s="29">
        <v>39</v>
      </c>
      <c r="N39" s="29">
        <v>0.8</v>
      </c>
      <c r="O39" s="30"/>
      <c r="P39" s="29" t="s">
        <v>217</v>
      </c>
      <c r="Q39" s="29">
        <v>0.1</v>
      </c>
      <c r="R39" s="29">
        <v>0.1</v>
      </c>
      <c r="S39" s="29">
        <v>0.4</v>
      </c>
      <c r="T39" s="31">
        <v>8</v>
      </c>
      <c r="U39" s="20" t="s">
        <v>169</v>
      </c>
    </row>
    <row r="40" spans="1:21" ht="15.6">
      <c r="A40" s="28">
        <v>4009</v>
      </c>
      <c r="B40" s="20" t="s">
        <v>169</v>
      </c>
      <c r="C40" s="20" t="s">
        <v>218</v>
      </c>
      <c r="D40" s="29">
        <v>5</v>
      </c>
      <c r="E40" s="29">
        <v>22</v>
      </c>
      <c r="F40" s="29">
        <v>92.5</v>
      </c>
      <c r="G40" s="29">
        <v>1</v>
      </c>
      <c r="H40" s="30"/>
      <c r="I40" s="29">
        <v>4.5</v>
      </c>
      <c r="J40" s="29">
        <v>1.5</v>
      </c>
      <c r="K40" s="29">
        <v>0.5</v>
      </c>
      <c r="L40" s="29">
        <v>15</v>
      </c>
      <c r="M40" s="29">
        <v>34</v>
      </c>
      <c r="N40" s="29">
        <v>0.4</v>
      </c>
      <c r="O40" s="30"/>
      <c r="P40" s="29">
        <v>10</v>
      </c>
      <c r="Q40" s="29">
        <v>0</v>
      </c>
      <c r="R40" s="29">
        <v>0.1</v>
      </c>
      <c r="S40" s="29">
        <v>0.6</v>
      </c>
      <c r="T40" s="31">
        <v>15</v>
      </c>
      <c r="U40" s="20" t="s">
        <v>169</v>
      </c>
    </row>
    <row r="41" spans="1:21" ht="15.6">
      <c r="A41" s="28">
        <v>4010</v>
      </c>
      <c r="B41" s="20" t="s">
        <v>168</v>
      </c>
      <c r="C41" s="32" t="s">
        <v>219</v>
      </c>
      <c r="D41" s="29">
        <v>10</v>
      </c>
      <c r="E41" s="29">
        <v>29</v>
      </c>
      <c r="F41" s="29">
        <v>90</v>
      </c>
      <c r="G41" s="29">
        <v>1.8</v>
      </c>
      <c r="H41" s="30"/>
      <c r="I41" s="29">
        <v>5.4</v>
      </c>
      <c r="J41" s="29">
        <v>1.6</v>
      </c>
      <c r="K41" s="29">
        <v>1.2</v>
      </c>
      <c r="L41" s="29">
        <v>48</v>
      </c>
      <c r="M41" s="29">
        <v>31</v>
      </c>
      <c r="N41" s="29">
        <v>1.1000000000000001</v>
      </c>
      <c r="O41" s="30"/>
      <c r="P41" s="29">
        <v>280</v>
      </c>
      <c r="Q41" s="29">
        <v>0.1</v>
      </c>
      <c r="R41" s="29">
        <v>0.1</v>
      </c>
      <c r="S41" s="29">
        <v>0.4</v>
      </c>
      <c r="T41" s="31">
        <v>30</v>
      </c>
      <c r="U41" s="20" t="s">
        <v>168</v>
      </c>
    </row>
    <row r="42" spans="1:21" ht="15.6">
      <c r="A42" s="28">
        <v>4011</v>
      </c>
      <c r="B42" s="20" t="s">
        <v>168</v>
      </c>
      <c r="C42" s="20" t="s">
        <v>220</v>
      </c>
      <c r="D42" s="29">
        <v>22</v>
      </c>
      <c r="E42" s="29">
        <v>45</v>
      </c>
      <c r="F42" s="29">
        <v>84</v>
      </c>
      <c r="G42" s="29">
        <v>1.9</v>
      </c>
      <c r="H42" s="29">
        <v>0.2</v>
      </c>
      <c r="I42" s="29">
        <v>9</v>
      </c>
      <c r="J42" s="29">
        <v>4</v>
      </c>
      <c r="K42" s="29">
        <v>0.9</v>
      </c>
      <c r="L42" s="29">
        <v>83</v>
      </c>
      <c r="M42" s="29">
        <v>42</v>
      </c>
      <c r="N42" s="29">
        <v>0.5</v>
      </c>
      <c r="O42" s="30"/>
      <c r="P42" s="29">
        <v>35</v>
      </c>
      <c r="Q42" s="29">
        <v>0.1</v>
      </c>
      <c r="R42" s="29">
        <v>0.1</v>
      </c>
      <c r="S42" s="29">
        <v>0.8</v>
      </c>
      <c r="T42" s="31">
        <v>60</v>
      </c>
      <c r="U42" s="20" t="s">
        <v>168</v>
      </c>
    </row>
    <row r="43" spans="1:21" ht="15.6">
      <c r="A43" s="28">
        <v>4013</v>
      </c>
      <c r="B43" s="20" t="s">
        <v>168</v>
      </c>
      <c r="C43" s="20" t="s">
        <v>221</v>
      </c>
      <c r="D43" s="29">
        <v>25</v>
      </c>
      <c r="E43" s="29">
        <v>14</v>
      </c>
      <c r="F43" s="29">
        <v>93.8</v>
      </c>
      <c r="G43" s="29">
        <v>1.6</v>
      </c>
      <c r="H43" s="30"/>
      <c r="I43" s="29">
        <v>1.9</v>
      </c>
      <c r="J43" s="29">
        <v>2</v>
      </c>
      <c r="K43" s="29">
        <v>0.7</v>
      </c>
      <c r="L43" s="29">
        <v>63</v>
      </c>
      <c r="M43" s="29">
        <v>38</v>
      </c>
      <c r="N43" s="29">
        <v>0.8</v>
      </c>
      <c r="O43" s="30"/>
      <c r="P43" s="29" t="s">
        <v>214</v>
      </c>
      <c r="Q43" s="29">
        <v>0</v>
      </c>
      <c r="R43" s="29">
        <v>0</v>
      </c>
      <c r="S43" s="29">
        <v>0.2</v>
      </c>
      <c r="T43" s="31">
        <v>27</v>
      </c>
      <c r="U43" s="20" t="s">
        <v>168</v>
      </c>
    </row>
    <row r="44" spans="1:21" ht="15.6">
      <c r="A44" s="28">
        <v>4014</v>
      </c>
      <c r="B44" s="20" t="s">
        <v>168</v>
      </c>
      <c r="C44" s="20" t="s">
        <v>222</v>
      </c>
      <c r="D44" s="29">
        <v>30</v>
      </c>
      <c r="E44" s="29">
        <v>14</v>
      </c>
      <c r="F44" s="29">
        <v>93.7</v>
      </c>
      <c r="G44" s="29">
        <v>2.1</v>
      </c>
      <c r="H44" s="30"/>
      <c r="I44" s="29">
        <v>1.4</v>
      </c>
      <c r="J44" s="29">
        <v>2</v>
      </c>
      <c r="K44" s="29">
        <v>0.8</v>
      </c>
      <c r="L44" s="29">
        <v>69</v>
      </c>
      <c r="M44" s="29">
        <v>28</v>
      </c>
      <c r="N44" s="29">
        <v>1.6</v>
      </c>
      <c r="O44" s="30"/>
      <c r="P44" s="29" t="s">
        <v>223</v>
      </c>
      <c r="Q44" s="29">
        <v>0.1</v>
      </c>
      <c r="R44" s="29">
        <v>0.3</v>
      </c>
      <c r="S44" s="29">
        <v>1</v>
      </c>
      <c r="T44" s="31">
        <v>25</v>
      </c>
      <c r="U44" s="20" t="s">
        <v>168</v>
      </c>
    </row>
    <row r="45" spans="1:21" ht="15.6">
      <c r="A45" s="28">
        <v>4015</v>
      </c>
      <c r="B45" s="20" t="s">
        <v>168</v>
      </c>
      <c r="C45" s="41" t="s">
        <v>224</v>
      </c>
      <c r="D45" s="29">
        <v>25</v>
      </c>
      <c r="E45" s="29">
        <v>16</v>
      </c>
      <c r="F45" s="29">
        <v>93.2</v>
      </c>
      <c r="G45" s="29">
        <v>1.4</v>
      </c>
      <c r="H45" s="30"/>
      <c r="I45" s="29">
        <v>2.6</v>
      </c>
      <c r="J45" s="29">
        <v>1.8</v>
      </c>
      <c r="K45" s="29">
        <v>1</v>
      </c>
      <c r="L45" s="29">
        <v>50</v>
      </c>
      <c r="M45" s="29">
        <v>30</v>
      </c>
      <c r="N45" s="29">
        <v>0.7</v>
      </c>
      <c r="O45" s="30"/>
      <c r="P45" s="29" t="s">
        <v>225</v>
      </c>
      <c r="Q45" s="29">
        <v>0.1</v>
      </c>
      <c r="R45" s="29">
        <v>0.1</v>
      </c>
      <c r="S45" s="29">
        <v>0.4</v>
      </c>
      <c r="T45" s="31">
        <v>26</v>
      </c>
      <c r="U45" s="20" t="s">
        <v>168</v>
      </c>
    </row>
    <row r="46" spans="1:21" ht="15.6">
      <c r="A46" s="28">
        <v>4016</v>
      </c>
      <c r="B46" s="20" t="s">
        <v>168</v>
      </c>
      <c r="C46" s="20" t="s">
        <v>226</v>
      </c>
      <c r="D46" s="29">
        <v>24</v>
      </c>
      <c r="E46" s="29">
        <v>15</v>
      </c>
      <c r="F46" s="29">
        <v>93.8</v>
      </c>
      <c r="G46" s="29">
        <v>1.7</v>
      </c>
      <c r="H46" s="30"/>
      <c r="I46" s="29">
        <v>2.1</v>
      </c>
      <c r="J46" s="29">
        <v>1.8</v>
      </c>
      <c r="K46" s="29">
        <v>0.6</v>
      </c>
      <c r="L46" s="29">
        <v>89</v>
      </c>
      <c r="M46" s="29">
        <v>13.5</v>
      </c>
      <c r="N46" s="29">
        <v>1.9</v>
      </c>
      <c r="O46" s="30"/>
      <c r="P46" s="29" t="s">
        <v>227</v>
      </c>
      <c r="Q46" s="29">
        <v>0.1</v>
      </c>
      <c r="R46" s="29">
        <v>0.1</v>
      </c>
      <c r="S46" s="29">
        <v>0.8</v>
      </c>
      <c r="T46" s="31">
        <v>51</v>
      </c>
      <c r="U46" s="20" t="s">
        <v>168</v>
      </c>
    </row>
    <row r="47" spans="1:21" ht="15.6">
      <c r="A47" s="28">
        <v>4017</v>
      </c>
      <c r="B47" s="20" t="s">
        <v>168</v>
      </c>
      <c r="C47" s="20" t="s">
        <v>228</v>
      </c>
      <c r="D47" s="29">
        <v>20</v>
      </c>
      <c r="E47" s="29">
        <v>10</v>
      </c>
      <c r="F47" s="29">
        <v>95.3</v>
      </c>
      <c r="G47" s="29">
        <v>1</v>
      </c>
      <c r="H47" s="30"/>
      <c r="I47" s="29">
        <v>1.5</v>
      </c>
      <c r="J47" s="29">
        <v>1.5</v>
      </c>
      <c r="K47" s="29">
        <v>0.7</v>
      </c>
      <c r="L47" s="29">
        <v>310</v>
      </c>
      <c r="M47" s="29">
        <v>64</v>
      </c>
      <c r="N47" s="29">
        <v>3</v>
      </c>
      <c r="O47" s="30"/>
      <c r="P47" s="29" t="s">
        <v>229</v>
      </c>
      <c r="Q47" s="29">
        <v>0</v>
      </c>
      <c r="R47" s="29">
        <v>0</v>
      </c>
      <c r="S47" s="29">
        <v>0.3</v>
      </c>
      <c r="T47" s="31">
        <v>6</v>
      </c>
      <c r="U47" s="20" t="s">
        <v>168</v>
      </c>
    </row>
    <row r="48" spans="1:21" ht="15.6">
      <c r="A48" s="28">
        <v>4018</v>
      </c>
      <c r="B48" s="20" t="s">
        <v>168</v>
      </c>
      <c r="C48" s="20" t="s">
        <v>230</v>
      </c>
      <c r="D48" s="29">
        <v>16</v>
      </c>
      <c r="E48" s="29">
        <v>47</v>
      </c>
      <c r="F48" s="29">
        <v>85</v>
      </c>
      <c r="G48" s="29">
        <v>3.7</v>
      </c>
      <c r="H48" s="30"/>
      <c r="I48" s="29">
        <v>8.1</v>
      </c>
      <c r="J48" s="29">
        <v>1.5</v>
      </c>
      <c r="K48" s="29">
        <v>1.7</v>
      </c>
      <c r="L48" s="29">
        <v>325</v>
      </c>
      <c r="M48" s="29">
        <v>128</v>
      </c>
      <c r="N48" s="29">
        <v>8</v>
      </c>
      <c r="O48" s="30"/>
      <c r="P48" s="29" t="s">
        <v>231</v>
      </c>
      <c r="Q48" s="29">
        <v>0.1</v>
      </c>
      <c r="R48" s="29">
        <v>0.1</v>
      </c>
      <c r="S48" s="29">
        <v>0.4</v>
      </c>
      <c r="T48" s="31">
        <v>150</v>
      </c>
      <c r="U48" s="20" t="s">
        <v>168</v>
      </c>
    </row>
    <row r="49" spans="1:21" ht="15.6">
      <c r="A49" s="28">
        <v>4019</v>
      </c>
      <c r="B49" s="20" t="s">
        <v>169</v>
      </c>
      <c r="C49" s="42" t="s">
        <v>232</v>
      </c>
      <c r="D49" s="29">
        <v>32</v>
      </c>
      <c r="E49" s="29">
        <v>72</v>
      </c>
      <c r="F49" s="29">
        <v>80.2</v>
      </c>
      <c r="G49" s="29">
        <v>1.2</v>
      </c>
      <c r="H49" s="30"/>
      <c r="I49" s="29">
        <v>16.8</v>
      </c>
      <c r="J49" s="29">
        <v>1</v>
      </c>
      <c r="K49" s="29">
        <v>0.8</v>
      </c>
      <c r="L49" s="29">
        <v>26</v>
      </c>
      <c r="M49" s="29">
        <v>27</v>
      </c>
      <c r="N49" s="29">
        <v>0.4</v>
      </c>
      <c r="O49" s="30"/>
      <c r="P49" s="29">
        <v>5</v>
      </c>
      <c r="Q49" s="29">
        <v>0.1</v>
      </c>
      <c r="R49" s="29">
        <v>0</v>
      </c>
      <c r="S49" s="29">
        <v>0.6</v>
      </c>
      <c r="T49" s="31">
        <v>31</v>
      </c>
      <c r="U49" s="20" t="s">
        <v>169</v>
      </c>
    </row>
    <row r="50" spans="1:21" s="47" customFormat="1" ht="15.6">
      <c r="A50" s="43">
        <v>4021</v>
      </c>
      <c r="B50" s="20" t="s">
        <v>169</v>
      </c>
      <c r="C50" s="20" t="s">
        <v>233</v>
      </c>
      <c r="D50" s="44">
        <v>15</v>
      </c>
      <c r="E50" s="44">
        <v>21</v>
      </c>
      <c r="F50" s="44">
        <v>92.1</v>
      </c>
      <c r="G50" s="44">
        <v>1.5</v>
      </c>
      <c r="H50" s="45"/>
      <c r="I50" s="44">
        <v>3.7</v>
      </c>
      <c r="J50" s="44">
        <v>1.5</v>
      </c>
      <c r="K50" s="44">
        <v>1.2</v>
      </c>
      <c r="L50" s="44">
        <v>40</v>
      </c>
      <c r="M50" s="44">
        <v>41</v>
      </c>
      <c r="N50" s="44">
        <v>1.1000000000000001</v>
      </c>
      <c r="O50" s="45"/>
      <c r="P50" s="44">
        <v>15</v>
      </c>
      <c r="Q50" s="44">
        <v>0.1</v>
      </c>
      <c r="R50" s="44">
        <v>0.1</v>
      </c>
      <c r="S50" s="44">
        <v>0.5</v>
      </c>
      <c r="T50" s="46">
        <v>30</v>
      </c>
      <c r="U50" s="20" t="s">
        <v>169</v>
      </c>
    </row>
    <row r="51" spans="1:21" ht="15.6">
      <c r="A51" s="28">
        <v>4023</v>
      </c>
      <c r="B51" s="20" t="s">
        <v>169</v>
      </c>
      <c r="C51" s="20" t="s">
        <v>234</v>
      </c>
      <c r="D51" s="29">
        <v>15</v>
      </c>
      <c r="E51" s="29">
        <v>28</v>
      </c>
      <c r="F51" s="29">
        <v>92</v>
      </c>
      <c r="G51" s="29">
        <v>1</v>
      </c>
      <c r="H51" s="30"/>
      <c r="I51" s="29">
        <v>6</v>
      </c>
      <c r="J51" s="29">
        <v>0.7</v>
      </c>
      <c r="K51" s="29">
        <v>0.3</v>
      </c>
      <c r="L51" s="29">
        <v>8</v>
      </c>
      <c r="M51" s="29">
        <v>16</v>
      </c>
      <c r="N51" s="30"/>
      <c r="O51" s="30"/>
      <c r="P51" s="30"/>
      <c r="Q51" s="30"/>
      <c r="R51" s="30"/>
      <c r="S51" s="30"/>
      <c r="T51" s="33"/>
      <c r="U51" s="20" t="s">
        <v>169</v>
      </c>
    </row>
    <row r="52" spans="1:21" ht="15.6">
      <c r="A52" s="28">
        <v>4026</v>
      </c>
      <c r="B52" s="20" t="s">
        <v>168</v>
      </c>
      <c r="C52" s="20" t="s">
        <v>235</v>
      </c>
      <c r="D52" s="29">
        <v>20</v>
      </c>
      <c r="E52" s="29">
        <v>5</v>
      </c>
      <c r="F52" s="29">
        <v>96</v>
      </c>
      <c r="G52" s="29">
        <v>0.4</v>
      </c>
      <c r="H52" s="30"/>
      <c r="I52" s="29">
        <v>0.8</v>
      </c>
      <c r="J52" s="29">
        <v>2</v>
      </c>
      <c r="K52" s="29">
        <v>0.8</v>
      </c>
      <c r="L52" s="29">
        <v>12</v>
      </c>
      <c r="M52" s="29">
        <v>10</v>
      </c>
      <c r="N52" s="29"/>
      <c r="O52" s="29" t="s">
        <v>180</v>
      </c>
      <c r="P52" s="29"/>
      <c r="Q52" s="29"/>
      <c r="R52" s="29"/>
      <c r="S52" s="29"/>
      <c r="T52" s="29"/>
      <c r="U52" s="20" t="s">
        <v>168</v>
      </c>
    </row>
    <row r="53" spans="1:21" ht="15.6">
      <c r="A53" s="28">
        <v>4027</v>
      </c>
      <c r="B53" s="20" t="s">
        <v>169</v>
      </c>
      <c r="C53" s="20" t="s">
        <v>236</v>
      </c>
      <c r="D53" s="29">
        <v>5</v>
      </c>
      <c r="E53" s="29">
        <v>15</v>
      </c>
      <c r="F53" s="29">
        <v>95</v>
      </c>
      <c r="G53" s="29">
        <v>0.8</v>
      </c>
      <c r="H53" s="30"/>
      <c r="I53" s="29">
        <v>3</v>
      </c>
      <c r="J53" s="29">
        <v>0.7</v>
      </c>
      <c r="K53" s="29">
        <v>0.5</v>
      </c>
      <c r="L53" s="29">
        <v>23</v>
      </c>
      <c r="M53" s="29">
        <v>27</v>
      </c>
      <c r="N53" s="29">
        <v>1</v>
      </c>
      <c r="O53" s="30"/>
      <c r="P53" s="29">
        <v>90</v>
      </c>
      <c r="Q53" s="29">
        <v>0</v>
      </c>
      <c r="R53" s="29">
        <v>0</v>
      </c>
      <c r="S53" s="29">
        <v>0.1</v>
      </c>
      <c r="T53" s="31">
        <v>5</v>
      </c>
      <c r="U53" s="20" t="s">
        <v>169</v>
      </c>
    </row>
    <row r="54" spans="1:21" ht="15.6">
      <c r="A54" s="28">
        <v>4029</v>
      </c>
      <c r="B54" s="20" t="s">
        <v>169</v>
      </c>
      <c r="C54" s="48" t="s">
        <v>237</v>
      </c>
      <c r="D54" s="29">
        <v>10</v>
      </c>
      <c r="E54" s="29">
        <v>73</v>
      </c>
      <c r="F54" s="29">
        <v>80</v>
      </c>
      <c r="G54" s="29">
        <v>5</v>
      </c>
      <c r="H54" s="30"/>
      <c r="I54" s="29">
        <v>13.3</v>
      </c>
      <c r="J54" s="29">
        <v>1</v>
      </c>
      <c r="K54" s="29">
        <v>0.7</v>
      </c>
      <c r="L54" s="29">
        <v>26</v>
      </c>
      <c r="M54" s="29">
        <v>122</v>
      </c>
      <c r="N54" s="29">
        <v>0.7</v>
      </c>
      <c r="O54" s="30"/>
      <c r="P54" s="29">
        <v>180</v>
      </c>
      <c r="Q54" s="29">
        <v>0.3</v>
      </c>
      <c r="R54" s="29">
        <v>0.2</v>
      </c>
      <c r="S54" s="29">
        <v>2.6</v>
      </c>
      <c r="T54" s="31">
        <v>25</v>
      </c>
      <c r="U54" s="20" t="s">
        <v>169</v>
      </c>
    </row>
    <row r="55" spans="1:21" ht="15.6">
      <c r="A55" s="28">
        <v>4030</v>
      </c>
      <c r="B55" s="20" t="s">
        <v>169</v>
      </c>
      <c r="C55" s="20" t="s">
        <v>238</v>
      </c>
      <c r="D55" s="29">
        <v>10</v>
      </c>
      <c r="E55" s="29">
        <v>57</v>
      </c>
      <c r="F55" s="29">
        <v>83</v>
      </c>
      <c r="G55" s="29">
        <v>6</v>
      </c>
      <c r="H55" s="30"/>
      <c r="I55" s="29">
        <v>8.3000000000000007</v>
      </c>
      <c r="J55" s="29">
        <v>2</v>
      </c>
      <c r="K55" s="29">
        <v>0.7</v>
      </c>
      <c r="L55" s="29">
        <v>47</v>
      </c>
      <c r="M55" s="29">
        <v>16</v>
      </c>
      <c r="N55" s="29">
        <v>1.6</v>
      </c>
      <c r="O55" s="30"/>
      <c r="P55" s="29">
        <v>250</v>
      </c>
      <c r="Q55" s="29">
        <v>0.3</v>
      </c>
      <c r="R55" s="29">
        <v>0.2</v>
      </c>
      <c r="S55" s="29">
        <v>1.8</v>
      </c>
      <c r="T55" s="31">
        <v>22</v>
      </c>
      <c r="U55" s="20" t="s">
        <v>169</v>
      </c>
    </row>
    <row r="56" spans="1:21" ht="15.6">
      <c r="A56" s="28">
        <v>4032</v>
      </c>
      <c r="B56" s="20" t="s">
        <v>169</v>
      </c>
      <c r="C56" s="20" t="s">
        <v>239</v>
      </c>
      <c r="D56" s="29">
        <v>5</v>
      </c>
      <c r="E56" s="29">
        <v>34</v>
      </c>
      <c r="F56" s="29">
        <v>89.5</v>
      </c>
      <c r="G56" s="29">
        <v>1.9</v>
      </c>
      <c r="H56" s="29">
        <v>0.1</v>
      </c>
      <c r="I56" s="29">
        <v>6.3</v>
      </c>
      <c r="J56" s="29">
        <v>1.6</v>
      </c>
      <c r="K56" s="29">
        <v>0.6</v>
      </c>
      <c r="L56" s="29">
        <v>63</v>
      </c>
      <c r="M56" s="29">
        <v>60</v>
      </c>
      <c r="N56" s="29">
        <v>1.3</v>
      </c>
      <c r="O56" s="30"/>
      <c r="P56" s="29">
        <v>270</v>
      </c>
      <c r="Q56" s="29">
        <v>0.1</v>
      </c>
      <c r="R56" s="29">
        <v>0.1</v>
      </c>
      <c r="S56" s="29">
        <v>0.5</v>
      </c>
      <c r="T56" s="31">
        <v>22</v>
      </c>
      <c r="U56" s="20" t="s">
        <v>169</v>
      </c>
    </row>
    <row r="57" spans="1:21" ht="15.6">
      <c r="A57" s="28">
        <v>4033</v>
      </c>
      <c r="B57" s="20" t="s">
        <v>169</v>
      </c>
      <c r="C57" s="32" t="s">
        <v>240</v>
      </c>
      <c r="D57" s="29">
        <v>25</v>
      </c>
      <c r="E57" s="29">
        <v>22</v>
      </c>
      <c r="F57" s="29">
        <v>92.1</v>
      </c>
      <c r="G57" s="29">
        <v>0.8</v>
      </c>
      <c r="H57" s="30"/>
      <c r="I57" s="29">
        <v>4.5999999999999996</v>
      </c>
      <c r="J57" s="29">
        <v>2</v>
      </c>
      <c r="K57" s="29">
        <v>0.5</v>
      </c>
      <c r="L57" s="29">
        <v>63</v>
      </c>
      <c r="M57" s="29">
        <v>50</v>
      </c>
      <c r="N57" s="29">
        <v>0.9</v>
      </c>
      <c r="O57" s="30"/>
      <c r="P57" s="29">
        <v>15</v>
      </c>
      <c r="Q57" s="29">
        <v>0</v>
      </c>
      <c r="R57" s="29">
        <v>0</v>
      </c>
      <c r="S57" s="29">
        <v>0.3</v>
      </c>
      <c r="T57" s="31">
        <v>40</v>
      </c>
      <c r="U57" s="20" t="s">
        <v>169</v>
      </c>
    </row>
    <row r="58" spans="1:21" ht="15.6">
      <c r="A58" s="28">
        <v>4036</v>
      </c>
      <c r="B58" s="20" t="s">
        <v>169</v>
      </c>
      <c r="C58" s="20" t="s">
        <v>241</v>
      </c>
      <c r="D58" s="29">
        <v>5</v>
      </c>
      <c r="E58" s="29">
        <v>43</v>
      </c>
      <c r="F58" s="29">
        <v>86.5</v>
      </c>
      <c r="G58" s="29">
        <v>5.5</v>
      </c>
      <c r="H58" s="30"/>
      <c r="I58" s="29">
        <v>5.3</v>
      </c>
      <c r="J58" s="29">
        <v>2</v>
      </c>
      <c r="K58" s="29">
        <v>0.7</v>
      </c>
      <c r="L58" s="29">
        <v>38</v>
      </c>
      <c r="M58" s="29">
        <v>91</v>
      </c>
      <c r="N58" s="29">
        <v>1.4</v>
      </c>
      <c r="O58" s="30"/>
      <c r="P58" s="29">
        <v>12</v>
      </c>
      <c r="Q58" s="29">
        <v>0.2</v>
      </c>
      <c r="R58" s="29">
        <v>0.1</v>
      </c>
      <c r="S58" s="29">
        <v>0.8</v>
      </c>
      <c r="T58" s="31">
        <v>10</v>
      </c>
      <c r="U58" s="20" t="s">
        <v>169</v>
      </c>
    </row>
    <row r="59" spans="1:21" ht="15.6">
      <c r="A59" s="28">
        <v>4037</v>
      </c>
      <c r="B59" s="20" t="s">
        <v>168</v>
      </c>
      <c r="C59" s="32" t="s">
        <v>242</v>
      </c>
      <c r="D59" s="29">
        <v>24</v>
      </c>
      <c r="E59" s="29">
        <v>24</v>
      </c>
      <c r="F59" s="29">
        <v>92.5</v>
      </c>
      <c r="G59" s="29">
        <v>1.3</v>
      </c>
      <c r="H59" s="30"/>
      <c r="I59" s="29">
        <v>4.8</v>
      </c>
      <c r="J59" s="29">
        <v>0.7</v>
      </c>
      <c r="K59" s="29">
        <v>0.7</v>
      </c>
      <c r="L59" s="29">
        <v>32</v>
      </c>
      <c r="M59" s="29">
        <v>49</v>
      </c>
      <c r="N59" s="29">
        <v>1.1000000000000001</v>
      </c>
      <c r="O59" s="30"/>
      <c r="P59" s="29">
        <v>15</v>
      </c>
      <c r="Q59" s="29">
        <v>0</v>
      </c>
      <c r="R59" s="29">
        <v>0</v>
      </c>
      <c r="S59" s="29">
        <v>0.2</v>
      </c>
      <c r="T59" s="31">
        <v>10</v>
      </c>
      <c r="U59" s="20" t="s">
        <v>168</v>
      </c>
    </row>
    <row r="60" spans="1:21" ht="15.6">
      <c r="A60" s="28">
        <v>4038</v>
      </c>
      <c r="B60" s="20" t="s">
        <v>168</v>
      </c>
      <c r="C60" s="32" t="s">
        <v>243</v>
      </c>
      <c r="D60" s="29">
        <v>20</v>
      </c>
      <c r="E60" s="29">
        <v>22</v>
      </c>
      <c r="F60" s="29">
        <v>92.5</v>
      </c>
      <c r="G60" s="29">
        <v>1.3</v>
      </c>
      <c r="H60" s="30"/>
      <c r="I60" s="29">
        <v>4.3</v>
      </c>
      <c r="J60" s="29">
        <v>0.9</v>
      </c>
      <c r="K60" s="29">
        <v>1</v>
      </c>
      <c r="L60" s="29">
        <v>80</v>
      </c>
      <c r="M60" s="29">
        <v>41</v>
      </c>
      <c r="N60" s="29">
        <v>1</v>
      </c>
      <c r="O60" s="30"/>
      <c r="P60" s="29" t="s">
        <v>244</v>
      </c>
      <c r="Q60" s="29">
        <v>0</v>
      </c>
      <c r="R60" s="29">
        <v>0.1</v>
      </c>
      <c r="S60" s="29">
        <v>1</v>
      </c>
      <c r="T60" s="31">
        <v>60</v>
      </c>
      <c r="U60" s="20" t="s">
        <v>168</v>
      </c>
    </row>
    <row r="61" spans="1:21" ht="15.6">
      <c r="A61" s="28">
        <v>4039</v>
      </c>
      <c r="B61" s="20" t="s">
        <v>168</v>
      </c>
      <c r="C61" s="42" t="s">
        <v>245</v>
      </c>
      <c r="D61" s="29">
        <v>17</v>
      </c>
      <c r="E61" s="29">
        <v>40</v>
      </c>
      <c r="F61" s="29">
        <v>88</v>
      </c>
      <c r="G61" s="29">
        <v>1.8</v>
      </c>
      <c r="H61" s="30"/>
      <c r="I61" s="29">
        <v>8.3000000000000007</v>
      </c>
      <c r="J61" s="29">
        <v>1.1000000000000001</v>
      </c>
      <c r="K61" s="29">
        <v>0.8</v>
      </c>
      <c r="L61" s="29">
        <v>38</v>
      </c>
      <c r="M61" s="29">
        <v>58</v>
      </c>
      <c r="N61" s="29">
        <v>0.8</v>
      </c>
      <c r="O61" s="30"/>
      <c r="P61" s="29">
        <v>0</v>
      </c>
      <c r="Q61" s="29">
        <v>0</v>
      </c>
      <c r="R61" s="29">
        <v>0</v>
      </c>
      <c r="S61" s="29">
        <v>0.2</v>
      </c>
      <c r="T61" s="31">
        <v>10</v>
      </c>
      <c r="U61" s="20" t="s">
        <v>168</v>
      </c>
    </row>
    <row r="62" spans="1:21" ht="15.6">
      <c r="A62" s="28">
        <v>4042</v>
      </c>
      <c r="B62" s="20" t="s">
        <v>168</v>
      </c>
      <c r="C62" s="20" t="s">
        <v>246</v>
      </c>
      <c r="D62" s="29">
        <v>13</v>
      </c>
      <c r="E62" s="29">
        <v>16</v>
      </c>
      <c r="F62" s="29">
        <v>94.5</v>
      </c>
      <c r="G62" s="29">
        <v>2.2000000000000002</v>
      </c>
      <c r="H62" s="30"/>
      <c r="I62" s="29">
        <v>1.8</v>
      </c>
      <c r="J62" s="29">
        <v>0.9</v>
      </c>
      <c r="K62" s="29">
        <v>0.6</v>
      </c>
      <c r="L62" s="29">
        <v>56</v>
      </c>
      <c r="M62" s="29">
        <v>45</v>
      </c>
      <c r="N62" s="29">
        <v>1.3</v>
      </c>
      <c r="O62" s="30"/>
      <c r="P62" s="29" t="s">
        <v>247</v>
      </c>
      <c r="Q62" s="29">
        <v>0</v>
      </c>
      <c r="R62" s="29">
        <v>0.1</v>
      </c>
      <c r="S62" s="29">
        <v>0.9</v>
      </c>
      <c r="T62" s="31">
        <v>19</v>
      </c>
      <c r="U62" s="20" t="s">
        <v>168</v>
      </c>
    </row>
    <row r="63" spans="1:21" ht="15.6">
      <c r="A63" s="28">
        <v>4043</v>
      </c>
      <c r="B63" s="20" t="s">
        <v>168</v>
      </c>
      <c r="C63" s="20" t="s">
        <v>248</v>
      </c>
      <c r="D63" s="29">
        <v>29</v>
      </c>
      <c r="E63" s="29">
        <v>20</v>
      </c>
      <c r="F63" s="29">
        <v>92</v>
      </c>
      <c r="G63" s="29">
        <v>1.5</v>
      </c>
      <c r="H63" s="30"/>
      <c r="I63" s="29">
        <v>3.5</v>
      </c>
      <c r="J63" s="29">
        <v>2</v>
      </c>
      <c r="K63" s="29">
        <v>1</v>
      </c>
      <c r="L63" s="29">
        <v>44</v>
      </c>
      <c r="M63" s="29">
        <v>32</v>
      </c>
      <c r="N63" s="29">
        <v>0.9</v>
      </c>
      <c r="O63" s="30"/>
      <c r="P63" s="29">
        <v>170</v>
      </c>
      <c r="Q63" s="29">
        <v>1</v>
      </c>
      <c r="R63" s="29">
        <v>0</v>
      </c>
      <c r="S63" s="29">
        <v>0.4</v>
      </c>
      <c r="T63" s="31">
        <v>5</v>
      </c>
      <c r="U63" s="20" t="s">
        <v>168</v>
      </c>
    </row>
    <row r="64" spans="1:21" ht="15.6">
      <c r="A64" s="28">
        <v>4044</v>
      </c>
      <c r="B64" s="20" t="s">
        <v>168</v>
      </c>
      <c r="C64" s="20" t="s">
        <v>249</v>
      </c>
      <c r="D64" s="29">
        <v>3</v>
      </c>
      <c r="E64" s="29">
        <v>23</v>
      </c>
      <c r="F64" s="29">
        <v>90.5</v>
      </c>
      <c r="G64" s="29">
        <v>2.9</v>
      </c>
      <c r="H64" s="30"/>
      <c r="I64" s="29">
        <v>2.8</v>
      </c>
      <c r="J64" s="29">
        <v>3</v>
      </c>
      <c r="K64" s="29">
        <v>0.8</v>
      </c>
      <c r="L64" s="29">
        <v>52</v>
      </c>
      <c r="M64" s="29">
        <v>53</v>
      </c>
      <c r="N64" s="29">
        <v>1.2</v>
      </c>
      <c r="O64" s="30"/>
      <c r="P64" s="29">
        <v>585</v>
      </c>
      <c r="Q64" s="29">
        <v>0.2</v>
      </c>
      <c r="R64" s="29">
        <v>0.1</v>
      </c>
      <c r="S64" s="29">
        <v>1.1000000000000001</v>
      </c>
      <c r="T64" s="31">
        <v>48</v>
      </c>
      <c r="U64" s="20" t="s">
        <v>168</v>
      </c>
    </row>
    <row r="65" spans="1:21" ht="15.6">
      <c r="A65" s="28">
        <v>4045</v>
      </c>
      <c r="B65" s="20" t="s">
        <v>168</v>
      </c>
      <c r="C65" s="20" t="s">
        <v>250</v>
      </c>
      <c r="D65" s="29">
        <v>13</v>
      </c>
      <c r="E65" s="29">
        <v>15</v>
      </c>
      <c r="F65" s="29">
        <v>93.5</v>
      </c>
      <c r="G65" s="29">
        <v>0.6</v>
      </c>
      <c r="H65" s="30"/>
      <c r="I65" s="29">
        <v>3.1</v>
      </c>
      <c r="J65" s="29">
        <v>2.6</v>
      </c>
      <c r="K65" s="29">
        <v>0.2</v>
      </c>
      <c r="L65" s="29">
        <v>10</v>
      </c>
      <c r="M65" s="29">
        <v>8</v>
      </c>
      <c r="N65" s="29">
        <v>0.9</v>
      </c>
      <c r="O65" s="30"/>
      <c r="P65" s="29">
        <v>160</v>
      </c>
      <c r="Q65" s="29">
        <v>0.1</v>
      </c>
      <c r="R65" s="29">
        <v>0</v>
      </c>
      <c r="S65" s="29">
        <v>0.4</v>
      </c>
      <c r="T65" s="31">
        <v>30</v>
      </c>
      <c r="U65" s="20" t="s">
        <v>168</v>
      </c>
    </row>
    <row r="66" spans="1:21" ht="15.6">
      <c r="A66" s="28">
        <v>4046</v>
      </c>
      <c r="B66" s="20" t="s">
        <v>168</v>
      </c>
      <c r="C66" s="20" t="s">
        <v>251</v>
      </c>
      <c r="D66" s="29">
        <v>0</v>
      </c>
      <c r="E66" s="29">
        <v>39</v>
      </c>
      <c r="F66" s="29">
        <v>86.5</v>
      </c>
      <c r="G66" s="29">
        <v>4.3</v>
      </c>
      <c r="H66" s="30"/>
      <c r="I66" s="29">
        <v>5.4</v>
      </c>
      <c r="J66" s="29">
        <v>2.5</v>
      </c>
      <c r="K66" s="29">
        <v>1.3</v>
      </c>
      <c r="L66" s="29">
        <v>260</v>
      </c>
      <c r="M66" s="29">
        <v>980</v>
      </c>
      <c r="N66" s="29">
        <v>4.0999999999999996</v>
      </c>
      <c r="O66" s="30"/>
      <c r="P66" s="29" t="s">
        <v>252</v>
      </c>
      <c r="Q66" s="29">
        <v>0</v>
      </c>
      <c r="R66" s="29">
        <v>0</v>
      </c>
      <c r="S66" s="29">
        <v>0</v>
      </c>
      <c r="T66" s="31">
        <v>34</v>
      </c>
      <c r="U66" s="20" t="s">
        <v>168</v>
      </c>
    </row>
    <row r="67" spans="1:21" ht="15.6">
      <c r="A67" s="28">
        <v>4047</v>
      </c>
      <c r="B67" s="20" t="s">
        <v>168</v>
      </c>
      <c r="C67" s="20" t="s">
        <v>253</v>
      </c>
      <c r="D67" s="29">
        <v>0</v>
      </c>
      <c r="E67" s="29">
        <v>46</v>
      </c>
      <c r="F67" s="29">
        <v>86</v>
      </c>
      <c r="G67" s="29">
        <v>7.5</v>
      </c>
      <c r="H67" s="30"/>
      <c r="I67" s="29">
        <v>4</v>
      </c>
      <c r="J67" s="30"/>
      <c r="K67" s="29">
        <v>2.5</v>
      </c>
      <c r="L67" s="29">
        <v>319</v>
      </c>
      <c r="M67" s="29" t="s">
        <v>180</v>
      </c>
      <c r="N67" s="30"/>
      <c r="O67" s="29" t="s">
        <v>180</v>
      </c>
      <c r="P67" s="30"/>
      <c r="Q67" s="30"/>
      <c r="R67" s="30"/>
      <c r="S67" s="30"/>
      <c r="T67" s="33"/>
      <c r="U67" s="20" t="s">
        <v>168</v>
      </c>
    </row>
    <row r="68" spans="1:21" ht="15.6">
      <c r="A68" s="28">
        <v>4048</v>
      </c>
      <c r="B68" s="20" t="s">
        <v>168</v>
      </c>
      <c r="C68" s="20" t="s">
        <v>254</v>
      </c>
      <c r="D68" s="29">
        <v>0</v>
      </c>
      <c r="E68" s="29">
        <v>27</v>
      </c>
      <c r="F68" s="29">
        <v>86.1</v>
      </c>
      <c r="G68" s="29">
        <v>3.9</v>
      </c>
      <c r="H68" s="30"/>
      <c r="I68" s="29">
        <v>2.9</v>
      </c>
      <c r="J68" s="29">
        <v>5.0999999999999996</v>
      </c>
      <c r="K68" s="29">
        <v>2</v>
      </c>
      <c r="L68" s="29">
        <v>211</v>
      </c>
      <c r="M68" s="29">
        <v>2.8</v>
      </c>
      <c r="N68" s="30"/>
      <c r="O68" s="29" t="s">
        <v>180</v>
      </c>
      <c r="P68" s="29">
        <v>330</v>
      </c>
      <c r="Q68" s="30"/>
      <c r="R68" s="29" t="s">
        <v>180</v>
      </c>
      <c r="S68" s="30"/>
      <c r="T68" s="31">
        <v>75</v>
      </c>
      <c r="U68" s="20" t="s">
        <v>168</v>
      </c>
    </row>
    <row r="69" spans="1:21" ht="15.6">
      <c r="A69" s="28">
        <v>4050</v>
      </c>
      <c r="B69" s="20" t="s">
        <v>168</v>
      </c>
      <c r="C69" s="20" t="s">
        <v>255</v>
      </c>
      <c r="D69" s="29">
        <v>24</v>
      </c>
      <c r="E69" s="29">
        <v>11</v>
      </c>
      <c r="F69" s="29">
        <v>92.8</v>
      </c>
      <c r="G69" s="29">
        <v>1.4</v>
      </c>
      <c r="H69" s="30"/>
      <c r="I69" s="29">
        <v>1.4</v>
      </c>
      <c r="J69" s="29">
        <v>4.0999999999999996</v>
      </c>
      <c r="K69" s="29">
        <v>0.3</v>
      </c>
      <c r="L69" s="29">
        <v>18</v>
      </c>
      <c r="M69" s="29">
        <v>29</v>
      </c>
      <c r="N69" s="29">
        <v>0.9</v>
      </c>
      <c r="O69" s="30"/>
      <c r="P69" s="29">
        <v>15</v>
      </c>
      <c r="Q69" s="29">
        <v>0.1</v>
      </c>
      <c r="R69" s="29">
        <v>0.1</v>
      </c>
      <c r="S69" s="29">
        <v>0.6</v>
      </c>
      <c r="T69" s="31">
        <v>9</v>
      </c>
      <c r="U69" s="20" t="s">
        <v>168</v>
      </c>
    </row>
    <row r="70" spans="1:21" ht="15.6">
      <c r="A70" s="28">
        <v>4051</v>
      </c>
      <c r="B70" s="20" t="s">
        <v>168</v>
      </c>
      <c r="C70" s="20" t="s">
        <v>256</v>
      </c>
      <c r="D70" s="29">
        <v>0</v>
      </c>
      <c r="E70" s="29">
        <v>157</v>
      </c>
      <c r="F70" s="29">
        <v>23</v>
      </c>
      <c r="G70" s="29">
        <v>13</v>
      </c>
      <c r="H70" s="29">
        <v>2.1</v>
      </c>
      <c r="I70" s="29">
        <v>21.5</v>
      </c>
      <c r="J70" s="29">
        <v>36</v>
      </c>
      <c r="K70" s="29">
        <v>4.4000000000000004</v>
      </c>
      <c r="L70" s="29">
        <v>100</v>
      </c>
      <c r="M70" s="29">
        <v>200</v>
      </c>
      <c r="N70" s="29">
        <v>5</v>
      </c>
      <c r="O70" s="30"/>
      <c r="P70" s="29">
        <v>20</v>
      </c>
      <c r="Q70" s="29">
        <v>0.1</v>
      </c>
      <c r="R70" s="29">
        <v>0.1</v>
      </c>
      <c r="S70" s="29">
        <v>1.3</v>
      </c>
      <c r="T70" s="31">
        <v>1</v>
      </c>
      <c r="U70" s="20" t="s">
        <v>168</v>
      </c>
    </row>
    <row r="71" spans="1:21" ht="15.6">
      <c r="A71" s="28">
        <v>4052</v>
      </c>
      <c r="B71" s="20" t="s">
        <v>168</v>
      </c>
      <c r="C71" s="20" t="s">
        <v>257</v>
      </c>
      <c r="D71" s="29">
        <v>50</v>
      </c>
      <c r="E71" s="29">
        <v>14</v>
      </c>
      <c r="F71" s="29">
        <v>93.7</v>
      </c>
      <c r="G71" s="29">
        <v>2.2000000000000002</v>
      </c>
      <c r="H71" s="30"/>
      <c r="I71" s="29">
        <v>1.2</v>
      </c>
      <c r="J71" s="29">
        <v>2.2999999999999998</v>
      </c>
      <c r="K71" s="29">
        <v>0.6</v>
      </c>
      <c r="L71" s="29">
        <v>21</v>
      </c>
      <c r="M71" s="29">
        <v>6.2</v>
      </c>
      <c r="N71" s="29">
        <v>0.9</v>
      </c>
      <c r="O71" s="30"/>
      <c r="P71" s="29">
        <v>30</v>
      </c>
      <c r="Q71" s="29">
        <v>0.2</v>
      </c>
      <c r="R71" s="29">
        <v>0</v>
      </c>
      <c r="S71" s="29">
        <v>3</v>
      </c>
      <c r="T71" s="31">
        <v>10</v>
      </c>
      <c r="U71" s="20" t="s">
        <v>168</v>
      </c>
    </row>
    <row r="72" spans="1:21" ht="15.6">
      <c r="A72" s="28">
        <v>4053</v>
      </c>
      <c r="B72" s="20" t="s">
        <v>168</v>
      </c>
      <c r="C72" s="20" t="s">
        <v>258</v>
      </c>
      <c r="D72" s="29">
        <v>50</v>
      </c>
      <c r="E72" s="29">
        <v>14</v>
      </c>
      <c r="F72" s="29">
        <v>92</v>
      </c>
      <c r="G72" s="29">
        <v>1.7</v>
      </c>
      <c r="H72" s="30"/>
      <c r="I72" s="29">
        <v>1.7</v>
      </c>
      <c r="J72" s="29">
        <v>4.0999999999999996</v>
      </c>
      <c r="K72" s="29">
        <v>0.5</v>
      </c>
      <c r="L72" s="29">
        <v>22</v>
      </c>
      <c r="M72" s="29">
        <v>58</v>
      </c>
      <c r="N72" s="29">
        <v>1</v>
      </c>
      <c r="O72" s="30"/>
      <c r="P72" s="29">
        <v>40</v>
      </c>
      <c r="Q72" s="29">
        <v>0.1</v>
      </c>
      <c r="R72" s="29">
        <v>0.1</v>
      </c>
      <c r="S72" s="29">
        <v>0.6</v>
      </c>
      <c r="T72" s="31">
        <v>1</v>
      </c>
      <c r="U72" s="20" t="s">
        <v>168</v>
      </c>
    </row>
    <row r="73" spans="1:21" ht="15.6">
      <c r="A73" s="28">
        <v>4054</v>
      </c>
      <c r="B73" s="20" t="s">
        <v>169</v>
      </c>
      <c r="C73" s="20" t="s">
        <v>259</v>
      </c>
      <c r="D73" s="29">
        <v>12</v>
      </c>
      <c r="E73" s="29">
        <v>16</v>
      </c>
      <c r="F73" s="29">
        <v>95.1</v>
      </c>
      <c r="G73" s="29">
        <v>0.9</v>
      </c>
      <c r="H73" s="30"/>
      <c r="I73" s="29">
        <v>3</v>
      </c>
      <c r="J73" s="29">
        <v>0.5</v>
      </c>
      <c r="K73" s="29">
        <v>0.5</v>
      </c>
      <c r="L73" s="29">
        <v>28</v>
      </c>
      <c r="M73" s="29">
        <v>45</v>
      </c>
      <c r="N73" s="29">
        <v>0.8</v>
      </c>
      <c r="O73" s="30"/>
      <c r="P73" s="29">
        <v>160</v>
      </c>
      <c r="Q73" s="29">
        <v>0</v>
      </c>
      <c r="R73" s="29">
        <v>0.1</v>
      </c>
      <c r="S73" s="29">
        <v>0.5</v>
      </c>
      <c r="T73" s="31">
        <v>8</v>
      </c>
      <c r="U73" s="20" t="s">
        <v>169</v>
      </c>
    </row>
    <row r="74" spans="1:21" ht="15.6">
      <c r="A74" s="28">
        <v>4055</v>
      </c>
      <c r="B74" s="20" t="s">
        <v>169</v>
      </c>
      <c r="C74" s="20" t="s">
        <v>260</v>
      </c>
      <c r="D74" s="29">
        <v>20</v>
      </c>
      <c r="E74" s="29">
        <v>16</v>
      </c>
      <c r="F74" s="29">
        <v>94.4</v>
      </c>
      <c r="G74" s="29">
        <v>0.9</v>
      </c>
      <c r="H74" s="30"/>
      <c r="I74" s="29">
        <v>3</v>
      </c>
      <c r="J74" s="29">
        <v>1.1000000000000001</v>
      </c>
      <c r="K74" s="29">
        <v>0.6</v>
      </c>
      <c r="L74" s="29">
        <v>18</v>
      </c>
      <c r="M74" s="29">
        <v>29</v>
      </c>
      <c r="N74" s="29">
        <v>0.6</v>
      </c>
      <c r="O74" s="30"/>
      <c r="P74" s="29">
        <v>40</v>
      </c>
      <c r="Q74" s="29">
        <v>0.1</v>
      </c>
      <c r="R74" s="29">
        <v>0</v>
      </c>
      <c r="S74" s="29">
        <v>0.3</v>
      </c>
      <c r="T74" s="31">
        <v>22</v>
      </c>
      <c r="U74" s="20" t="s">
        <v>169</v>
      </c>
    </row>
    <row r="75" spans="1:21" ht="15.6">
      <c r="A75" s="28">
        <v>4057</v>
      </c>
      <c r="B75" s="20" t="s">
        <v>168</v>
      </c>
      <c r="C75" s="20" t="s">
        <v>261</v>
      </c>
      <c r="D75" s="29">
        <v>31</v>
      </c>
      <c r="E75" s="29">
        <v>25</v>
      </c>
      <c r="F75" s="29">
        <v>89.7</v>
      </c>
      <c r="G75" s="29">
        <v>3.8</v>
      </c>
      <c r="H75" s="29">
        <v>0</v>
      </c>
      <c r="I75" s="29">
        <v>2.4</v>
      </c>
      <c r="J75" s="29">
        <v>2</v>
      </c>
      <c r="K75" s="29">
        <v>2.1</v>
      </c>
      <c r="L75" s="29">
        <v>136.30000000000001</v>
      </c>
      <c r="M75" s="29">
        <v>45.4</v>
      </c>
      <c r="N75" s="29">
        <v>3.1</v>
      </c>
      <c r="O75" s="30"/>
      <c r="P75" s="30"/>
      <c r="Q75" s="30"/>
      <c r="R75" s="30"/>
      <c r="S75" s="30"/>
      <c r="T75" s="33"/>
      <c r="U75" s="20" t="s">
        <v>168</v>
      </c>
    </row>
    <row r="76" spans="1:21" ht="15.6">
      <c r="A76" s="28">
        <v>4058</v>
      </c>
      <c r="B76" s="20" t="s">
        <v>169</v>
      </c>
      <c r="C76" s="20" t="s">
        <v>262</v>
      </c>
      <c r="D76" s="29">
        <v>0</v>
      </c>
      <c r="E76" s="29">
        <v>40</v>
      </c>
      <c r="F76" s="29">
        <v>89.2</v>
      </c>
      <c r="G76" s="29">
        <v>2.2000000000000002</v>
      </c>
      <c r="H76" s="29">
        <v>0.2</v>
      </c>
      <c r="I76" s="29">
        <v>7.4</v>
      </c>
      <c r="J76" s="29">
        <v>0.4</v>
      </c>
      <c r="K76" s="29">
        <v>0.6</v>
      </c>
      <c r="L76" s="29">
        <v>5</v>
      </c>
      <c r="M76" s="29">
        <v>52</v>
      </c>
      <c r="N76" s="29">
        <v>0.9</v>
      </c>
      <c r="O76" s="30"/>
      <c r="P76" s="30"/>
      <c r="Q76" s="29">
        <v>0.1</v>
      </c>
      <c r="R76" s="29">
        <v>0.2</v>
      </c>
      <c r="S76" s="29">
        <v>0.7</v>
      </c>
      <c r="T76" s="31">
        <v>34</v>
      </c>
      <c r="U76" s="20" t="s">
        <v>169</v>
      </c>
    </row>
    <row r="77" spans="1:21" ht="15.6">
      <c r="A77" s="28">
        <v>4062</v>
      </c>
      <c r="B77" s="20" t="s">
        <v>168</v>
      </c>
      <c r="C77" s="32" t="s">
        <v>263</v>
      </c>
      <c r="D77" s="29">
        <v>10</v>
      </c>
      <c r="E77" s="29">
        <v>24</v>
      </c>
      <c r="F77" s="29">
        <v>92</v>
      </c>
      <c r="G77" s="29">
        <v>1.3</v>
      </c>
      <c r="H77" s="30"/>
      <c r="I77" s="29">
        <v>4.7</v>
      </c>
      <c r="J77" s="29">
        <v>1.5</v>
      </c>
      <c r="K77" s="29">
        <v>0.5</v>
      </c>
      <c r="L77" s="29">
        <v>6</v>
      </c>
      <c r="M77" s="29">
        <v>25</v>
      </c>
      <c r="N77" s="29">
        <v>0.8</v>
      </c>
      <c r="O77" s="30"/>
      <c r="P77" s="29">
        <v>85</v>
      </c>
      <c r="Q77" s="29">
        <v>0</v>
      </c>
      <c r="R77" s="29">
        <v>0.1</v>
      </c>
      <c r="S77" s="29">
        <v>0.9</v>
      </c>
      <c r="T77" s="31">
        <v>103</v>
      </c>
      <c r="U77" s="20" t="s">
        <v>168</v>
      </c>
    </row>
    <row r="78" spans="1:21" ht="15.6">
      <c r="A78" s="28">
        <v>4064</v>
      </c>
      <c r="B78" s="20" t="s">
        <v>168</v>
      </c>
      <c r="C78" s="20" t="s">
        <v>264</v>
      </c>
      <c r="D78" s="29">
        <v>15</v>
      </c>
      <c r="E78" s="29">
        <v>27</v>
      </c>
      <c r="F78" s="29">
        <v>90.3</v>
      </c>
      <c r="G78" s="29">
        <v>1.9</v>
      </c>
      <c r="H78" s="30"/>
      <c r="I78" s="29">
        <v>4.8</v>
      </c>
      <c r="J78" s="29">
        <v>2</v>
      </c>
      <c r="K78" s="29">
        <v>1</v>
      </c>
      <c r="L78" s="29">
        <v>130</v>
      </c>
      <c r="M78" s="29">
        <v>46</v>
      </c>
      <c r="N78" s="29">
        <v>0.4</v>
      </c>
      <c r="O78" s="30"/>
      <c r="P78" s="29">
        <v>10</v>
      </c>
      <c r="Q78" s="29">
        <v>0.2</v>
      </c>
      <c r="R78" s="29">
        <v>0.1</v>
      </c>
      <c r="S78" s="29">
        <v>0.4</v>
      </c>
      <c r="T78" s="31">
        <v>12</v>
      </c>
      <c r="U78" s="20" t="s">
        <v>168</v>
      </c>
    </row>
    <row r="79" spans="1:21" ht="15.6">
      <c r="A79" s="28">
        <v>4065</v>
      </c>
      <c r="B79" s="20" t="s">
        <v>168</v>
      </c>
      <c r="C79" s="20" t="s">
        <v>265</v>
      </c>
      <c r="D79" s="29">
        <v>30</v>
      </c>
      <c r="E79" s="29">
        <v>18</v>
      </c>
      <c r="F79" s="29">
        <v>93.2</v>
      </c>
      <c r="G79" s="29">
        <v>2.7</v>
      </c>
      <c r="H79" s="30"/>
      <c r="I79" s="29">
        <v>1.7</v>
      </c>
      <c r="J79" s="29">
        <v>1.7</v>
      </c>
      <c r="K79" s="29">
        <v>0.7</v>
      </c>
      <c r="L79" s="29">
        <v>100</v>
      </c>
      <c r="M79" s="29">
        <v>25.8</v>
      </c>
      <c r="N79" s="29">
        <v>2.1</v>
      </c>
      <c r="O79" s="30"/>
      <c r="P79" s="29" t="s">
        <v>266</v>
      </c>
      <c r="Q79" s="29">
        <v>0.1</v>
      </c>
      <c r="R79" s="29">
        <v>0.1</v>
      </c>
      <c r="S79" s="29">
        <v>0.9</v>
      </c>
      <c r="T79" s="31">
        <v>11</v>
      </c>
      <c r="U79" s="20" t="s">
        <v>168</v>
      </c>
    </row>
    <row r="80" spans="1:21" ht="15.6">
      <c r="A80" s="28">
        <v>4066</v>
      </c>
      <c r="B80" s="20" t="s">
        <v>168</v>
      </c>
      <c r="C80" s="20" t="s">
        <v>267</v>
      </c>
      <c r="D80" s="29">
        <v>0</v>
      </c>
      <c r="E80" s="29">
        <v>198</v>
      </c>
      <c r="F80" s="29">
        <v>20</v>
      </c>
      <c r="G80" s="29">
        <v>11.2</v>
      </c>
      <c r="H80" s="29">
        <v>1.1000000000000001</v>
      </c>
      <c r="I80" s="29">
        <v>35.799999999999997</v>
      </c>
      <c r="J80" s="29">
        <v>20.8</v>
      </c>
      <c r="K80" s="29">
        <v>11.1</v>
      </c>
      <c r="L80" s="29">
        <v>378</v>
      </c>
      <c r="M80" s="29">
        <v>124.1</v>
      </c>
      <c r="N80" s="29">
        <v>8.8000000000000007</v>
      </c>
      <c r="O80" s="30"/>
      <c r="P80" s="30"/>
      <c r="Q80" s="30"/>
      <c r="R80" s="30"/>
      <c r="S80" s="30"/>
      <c r="T80" s="33"/>
      <c r="U80" s="20" t="s">
        <v>168</v>
      </c>
    </row>
    <row r="81" spans="1:21" ht="15.6">
      <c r="A81" s="28">
        <v>4068</v>
      </c>
      <c r="B81" s="20" t="s">
        <v>168</v>
      </c>
      <c r="C81" s="20" t="s">
        <v>268</v>
      </c>
      <c r="D81" s="29">
        <v>10</v>
      </c>
      <c r="E81" s="29">
        <v>13</v>
      </c>
      <c r="F81" s="29">
        <v>95.7</v>
      </c>
      <c r="G81" s="29">
        <v>1.2</v>
      </c>
      <c r="H81" s="30"/>
      <c r="I81" s="29">
        <v>2</v>
      </c>
      <c r="J81" s="29">
        <v>0.5</v>
      </c>
      <c r="K81" s="29">
        <v>0.6</v>
      </c>
      <c r="L81" s="29">
        <v>38</v>
      </c>
      <c r="M81" s="29">
        <v>37</v>
      </c>
      <c r="N81" s="29">
        <v>1.1000000000000001</v>
      </c>
      <c r="O81" s="30"/>
      <c r="P81" s="29" t="s">
        <v>269</v>
      </c>
      <c r="Q81" s="29">
        <v>0.3</v>
      </c>
      <c r="R81" s="29">
        <v>0.1</v>
      </c>
      <c r="S81" s="29">
        <v>0.2</v>
      </c>
      <c r="T81" s="31">
        <v>30</v>
      </c>
      <c r="U81" s="20" t="s">
        <v>168</v>
      </c>
    </row>
    <row r="82" spans="1:21" ht="15.6">
      <c r="A82" s="28">
        <v>4069</v>
      </c>
      <c r="B82" s="20" t="s">
        <v>168</v>
      </c>
      <c r="C82" s="20" t="s">
        <v>270</v>
      </c>
      <c r="D82" s="29">
        <v>20</v>
      </c>
      <c r="E82" s="29">
        <v>24</v>
      </c>
      <c r="F82" s="29">
        <v>91.4</v>
      </c>
      <c r="G82" s="29">
        <v>2.8</v>
      </c>
      <c r="H82" s="30"/>
      <c r="I82" s="29">
        <v>3.2</v>
      </c>
      <c r="J82" s="29">
        <v>1.5</v>
      </c>
      <c r="K82" s="29">
        <v>1.1000000000000001</v>
      </c>
      <c r="L82" s="29">
        <v>182</v>
      </c>
      <c r="M82" s="29">
        <v>57.3</v>
      </c>
      <c r="N82" s="29">
        <v>7.7</v>
      </c>
      <c r="O82" s="30"/>
      <c r="P82" s="29" t="s">
        <v>271</v>
      </c>
      <c r="Q82" s="29">
        <v>0.1</v>
      </c>
      <c r="R82" s="29">
        <v>0.3</v>
      </c>
      <c r="S82" s="29">
        <v>1.1000000000000001</v>
      </c>
      <c r="T82" s="31">
        <v>77</v>
      </c>
      <c r="U82" s="20" t="s">
        <v>168</v>
      </c>
    </row>
    <row r="83" spans="1:21" ht="15.6">
      <c r="A83" s="28">
        <v>4070</v>
      </c>
      <c r="B83" s="20" t="s">
        <v>168</v>
      </c>
      <c r="C83" s="20" t="s">
        <v>272</v>
      </c>
      <c r="D83" s="29">
        <v>0</v>
      </c>
      <c r="E83" s="29">
        <v>22</v>
      </c>
      <c r="F83" s="29">
        <v>91.5</v>
      </c>
      <c r="G83" s="29">
        <v>2.9</v>
      </c>
      <c r="H83" s="30"/>
      <c r="I83" s="29">
        <v>2.7</v>
      </c>
      <c r="J83" s="29">
        <v>1.8</v>
      </c>
      <c r="K83" s="29">
        <v>1.1000000000000001</v>
      </c>
      <c r="L83" s="30"/>
      <c r="M83" s="29" t="s">
        <v>180</v>
      </c>
      <c r="N83" s="30"/>
      <c r="O83" s="29" t="s">
        <v>180</v>
      </c>
      <c r="P83" s="29">
        <v>620</v>
      </c>
      <c r="Q83" s="30"/>
      <c r="R83" s="29" t="s">
        <v>180</v>
      </c>
      <c r="S83" s="30"/>
      <c r="T83" s="31">
        <v>68</v>
      </c>
      <c r="U83" s="20" t="s">
        <v>168</v>
      </c>
    </row>
    <row r="84" spans="1:21" ht="15.6">
      <c r="A84" s="28">
        <v>4071</v>
      </c>
      <c r="B84" s="20" t="s">
        <v>168</v>
      </c>
      <c r="C84" s="20" t="s">
        <v>273</v>
      </c>
      <c r="D84" s="29">
        <v>26</v>
      </c>
      <c r="E84" s="29">
        <v>41.5</v>
      </c>
      <c r="F84" s="29">
        <v>86.45</v>
      </c>
      <c r="G84" s="29">
        <v>3.25</v>
      </c>
      <c r="H84" s="29">
        <v>0.35</v>
      </c>
      <c r="I84" s="29">
        <v>6.25</v>
      </c>
      <c r="J84" s="29">
        <v>1.55</v>
      </c>
      <c r="K84" s="29">
        <v>2.15</v>
      </c>
      <c r="L84" s="29">
        <v>288</v>
      </c>
      <c r="M84" s="29">
        <v>101.5</v>
      </c>
      <c r="N84" s="29">
        <v>5.75</v>
      </c>
      <c r="O84" s="29">
        <v>0</v>
      </c>
      <c r="P84" s="29"/>
      <c r="Q84" s="29">
        <v>0.1</v>
      </c>
      <c r="R84" s="29">
        <v>0.75</v>
      </c>
      <c r="S84" s="29">
        <v>0.85</v>
      </c>
      <c r="T84" s="29">
        <v>58</v>
      </c>
      <c r="U84" s="20" t="s">
        <v>168</v>
      </c>
    </row>
    <row r="85" spans="1:21" ht="15.6">
      <c r="A85" s="28">
        <v>4074</v>
      </c>
      <c r="B85" s="20" t="s">
        <v>168</v>
      </c>
      <c r="C85" s="20" t="s">
        <v>274</v>
      </c>
      <c r="D85" s="29">
        <v>20</v>
      </c>
      <c r="E85" s="29">
        <v>17</v>
      </c>
      <c r="F85" s="29">
        <v>91.4</v>
      </c>
      <c r="G85" s="29">
        <v>2.2000000000000002</v>
      </c>
      <c r="H85" s="30"/>
      <c r="I85" s="29">
        <v>2.1</v>
      </c>
      <c r="J85" s="29">
        <v>3.5</v>
      </c>
      <c r="K85" s="29">
        <v>0.8</v>
      </c>
      <c r="L85" s="29">
        <v>202</v>
      </c>
      <c r="M85" s="29">
        <v>82.5</v>
      </c>
      <c r="N85" s="29">
        <v>4.8</v>
      </c>
      <c r="O85" s="30"/>
      <c r="P85" s="29" t="s">
        <v>275</v>
      </c>
      <c r="Q85" s="29">
        <v>0.1</v>
      </c>
      <c r="R85" s="29">
        <v>0.4</v>
      </c>
      <c r="S85" s="29">
        <v>0.8</v>
      </c>
      <c r="T85" s="31">
        <v>27</v>
      </c>
      <c r="U85" s="20" t="s">
        <v>168</v>
      </c>
    </row>
    <row r="86" spans="1:21" ht="15.6">
      <c r="A86" s="28">
        <v>4075</v>
      </c>
      <c r="B86" s="20" t="s">
        <v>168</v>
      </c>
      <c r="C86" s="20" t="s">
        <v>276</v>
      </c>
      <c r="D86" s="29">
        <v>5</v>
      </c>
      <c r="E86" s="29">
        <v>22</v>
      </c>
      <c r="F86" s="29">
        <v>91.9</v>
      </c>
      <c r="G86" s="29">
        <v>2.6</v>
      </c>
      <c r="H86" s="30"/>
      <c r="I86" s="29">
        <v>2.8</v>
      </c>
      <c r="J86" s="29">
        <v>1.4</v>
      </c>
      <c r="K86" s="29">
        <v>1.3</v>
      </c>
      <c r="L86" s="29">
        <v>48</v>
      </c>
      <c r="M86" s="29">
        <v>54</v>
      </c>
      <c r="N86" s="29">
        <v>2.7</v>
      </c>
      <c r="O86" s="30"/>
      <c r="P86" s="29" t="s">
        <v>277</v>
      </c>
      <c r="Q86" s="29">
        <v>0.1</v>
      </c>
      <c r="R86" s="29">
        <v>0.3</v>
      </c>
      <c r="S86" s="29">
        <v>0.9</v>
      </c>
      <c r="T86" s="31">
        <v>11</v>
      </c>
      <c r="U86" s="20" t="s">
        <v>168</v>
      </c>
    </row>
    <row r="87" spans="1:21" ht="15.6">
      <c r="A87" s="28">
        <v>4076</v>
      </c>
      <c r="B87" s="20" t="s">
        <v>168</v>
      </c>
      <c r="C87" s="20" t="s">
        <v>278</v>
      </c>
      <c r="D87" s="29">
        <v>16</v>
      </c>
      <c r="E87" s="29">
        <v>22</v>
      </c>
      <c r="F87" s="29">
        <v>90.3</v>
      </c>
      <c r="G87" s="29">
        <v>2.7</v>
      </c>
      <c r="H87" s="30"/>
      <c r="I87" s="29">
        <v>2.8</v>
      </c>
      <c r="J87" s="29">
        <v>3.6</v>
      </c>
      <c r="K87" s="29">
        <v>0.6</v>
      </c>
      <c r="L87" s="29">
        <v>246</v>
      </c>
      <c r="M87" s="29">
        <v>15</v>
      </c>
      <c r="N87" s="29">
        <v>1</v>
      </c>
      <c r="O87" s="30"/>
      <c r="P87" s="29" t="s">
        <v>279</v>
      </c>
      <c r="Q87" s="30"/>
      <c r="R87" s="29" t="s">
        <v>180</v>
      </c>
      <c r="S87" s="30"/>
      <c r="T87" s="31">
        <v>110</v>
      </c>
      <c r="U87" s="20" t="s">
        <v>168</v>
      </c>
    </row>
    <row r="88" spans="1:21" ht="15.6">
      <c r="A88" s="28">
        <v>4078</v>
      </c>
      <c r="B88" s="20" t="s">
        <v>168</v>
      </c>
      <c r="C88" s="20" t="s">
        <v>280</v>
      </c>
      <c r="D88" s="29">
        <v>0</v>
      </c>
      <c r="E88" s="29">
        <v>20</v>
      </c>
      <c r="F88" s="29">
        <v>88.2</v>
      </c>
      <c r="G88" s="29">
        <v>3.2</v>
      </c>
      <c r="H88" s="30"/>
      <c r="I88" s="29">
        <v>1.8</v>
      </c>
      <c r="J88" s="29">
        <v>4.5</v>
      </c>
      <c r="K88" s="29">
        <v>2.2999999999999998</v>
      </c>
      <c r="L88" s="29">
        <v>229</v>
      </c>
      <c r="M88" s="29">
        <v>2.4</v>
      </c>
      <c r="N88" s="29">
        <v>3.1</v>
      </c>
      <c r="O88" s="30"/>
      <c r="P88" s="29" t="s">
        <v>281</v>
      </c>
      <c r="Q88" s="29">
        <v>0.2</v>
      </c>
      <c r="R88" s="29">
        <v>0.1</v>
      </c>
      <c r="S88" s="29">
        <v>1.2</v>
      </c>
      <c r="T88" s="31">
        <v>37</v>
      </c>
      <c r="U88" s="20" t="s">
        <v>168</v>
      </c>
    </row>
    <row r="89" spans="1:21" ht="15.6">
      <c r="A89" s="28">
        <v>4079</v>
      </c>
      <c r="B89" s="20" t="s">
        <v>168</v>
      </c>
      <c r="C89" s="20" t="s">
        <v>282</v>
      </c>
      <c r="D89" s="29">
        <v>17</v>
      </c>
      <c r="E89" s="29">
        <v>14</v>
      </c>
      <c r="F89" s="29">
        <v>93.2</v>
      </c>
      <c r="G89" s="29">
        <v>2</v>
      </c>
      <c r="H89" s="30"/>
      <c r="I89" s="29">
        <v>1.4</v>
      </c>
      <c r="J89" s="29">
        <v>2.5</v>
      </c>
      <c r="K89" s="29">
        <v>0.9</v>
      </c>
      <c r="L89" s="29">
        <v>176</v>
      </c>
      <c r="M89" s="29">
        <v>33.700000000000003</v>
      </c>
      <c r="N89" s="29">
        <v>1.6</v>
      </c>
      <c r="O89" s="30"/>
      <c r="P89" s="29" t="s">
        <v>283</v>
      </c>
      <c r="Q89" s="29">
        <v>0.1</v>
      </c>
      <c r="R89" s="29">
        <v>0.2</v>
      </c>
      <c r="S89" s="29">
        <v>0.6</v>
      </c>
      <c r="T89" s="31">
        <v>72</v>
      </c>
      <c r="U89" s="20" t="s">
        <v>168</v>
      </c>
    </row>
    <row r="90" spans="1:21" ht="15.6">
      <c r="A90" s="28">
        <v>4080</v>
      </c>
      <c r="B90" s="20" t="s">
        <v>168</v>
      </c>
      <c r="C90" s="20" t="s">
        <v>284</v>
      </c>
      <c r="D90" s="29">
        <v>15</v>
      </c>
      <c r="E90" s="29">
        <v>13</v>
      </c>
      <c r="F90" s="29">
        <v>93.3</v>
      </c>
      <c r="G90" s="29">
        <v>2.6</v>
      </c>
      <c r="H90" s="30"/>
      <c r="I90" s="29">
        <v>0.7</v>
      </c>
      <c r="J90" s="29">
        <v>1.8</v>
      </c>
      <c r="K90" s="29">
        <v>1.6</v>
      </c>
      <c r="L90" s="29">
        <v>133</v>
      </c>
      <c r="M90" s="29">
        <v>80</v>
      </c>
      <c r="N90" s="29">
        <v>4.5</v>
      </c>
      <c r="O90" s="30"/>
      <c r="P90" s="29">
        <v>450</v>
      </c>
      <c r="Q90" s="29">
        <v>0.1</v>
      </c>
      <c r="R90" s="29">
        <v>0.2</v>
      </c>
      <c r="S90" s="29">
        <v>1.3</v>
      </c>
      <c r="T90" s="31">
        <v>140</v>
      </c>
      <c r="U90" s="20" t="s">
        <v>168</v>
      </c>
    </row>
    <row r="91" spans="1:21" ht="15.6">
      <c r="A91" s="28">
        <v>4081</v>
      </c>
      <c r="B91" s="20" t="s">
        <v>168</v>
      </c>
      <c r="C91" s="20" t="s">
        <v>285</v>
      </c>
      <c r="D91" s="29">
        <v>20</v>
      </c>
      <c r="E91" s="29">
        <v>21</v>
      </c>
      <c r="F91" s="29">
        <v>92</v>
      </c>
      <c r="G91" s="29">
        <v>2.1</v>
      </c>
      <c r="H91" s="30"/>
      <c r="I91" s="29">
        <v>3.2</v>
      </c>
      <c r="J91" s="29">
        <v>1.6</v>
      </c>
      <c r="K91" s="29">
        <v>1.1000000000000001</v>
      </c>
      <c r="L91" s="29">
        <v>20</v>
      </c>
      <c r="M91" s="29">
        <v>30</v>
      </c>
      <c r="N91" s="29">
        <v>2.9</v>
      </c>
      <c r="O91" s="30"/>
      <c r="P91" s="29" t="s">
        <v>286</v>
      </c>
      <c r="Q91" s="29">
        <v>0.1</v>
      </c>
      <c r="R91" s="29">
        <v>0.3</v>
      </c>
      <c r="S91" s="29">
        <v>1.4</v>
      </c>
      <c r="T91" s="31">
        <v>177</v>
      </c>
      <c r="U91" s="20" t="s">
        <v>168</v>
      </c>
    </row>
    <row r="92" spans="1:21" ht="15.6">
      <c r="A92" s="28">
        <v>4082</v>
      </c>
      <c r="B92" s="20" t="s">
        <v>168</v>
      </c>
      <c r="C92" s="20" t="s">
        <v>287</v>
      </c>
      <c r="D92" s="29">
        <v>15</v>
      </c>
      <c r="E92" s="29">
        <v>23</v>
      </c>
      <c r="F92" s="29">
        <v>92</v>
      </c>
      <c r="G92" s="29">
        <v>3.2</v>
      </c>
      <c r="H92" s="30"/>
      <c r="I92" s="29">
        <v>2.5</v>
      </c>
      <c r="J92" s="29">
        <v>1</v>
      </c>
      <c r="K92" s="29">
        <v>1.3</v>
      </c>
      <c r="L92" s="29">
        <v>100</v>
      </c>
      <c r="M92" s="29">
        <v>37</v>
      </c>
      <c r="N92" s="29">
        <v>1.4</v>
      </c>
      <c r="O92" s="30"/>
      <c r="P92" s="29" t="s">
        <v>288</v>
      </c>
      <c r="Q92" s="29">
        <v>0.1</v>
      </c>
      <c r="R92" s="29">
        <v>0.1</v>
      </c>
      <c r="S92" s="29">
        <v>0.7</v>
      </c>
      <c r="T92" s="31">
        <v>23</v>
      </c>
      <c r="U92" s="20" t="s">
        <v>168</v>
      </c>
    </row>
    <row r="93" spans="1:21" ht="15.6">
      <c r="A93" s="28">
        <v>4084</v>
      </c>
      <c r="B93" s="20" t="s">
        <v>168</v>
      </c>
      <c r="C93" s="20" t="s">
        <v>289</v>
      </c>
      <c r="D93" s="29">
        <v>29</v>
      </c>
      <c r="E93" s="29">
        <v>15</v>
      </c>
      <c r="F93" s="29">
        <v>93.3</v>
      </c>
      <c r="G93" s="29">
        <v>1.5</v>
      </c>
      <c r="H93" s="30"/>
      <c r="I93" s="29">
        <v>2.2999999999999998</v>
      </c>
      <c r="J93" s="29">
        <v>2.1</v>
      </c>
      <c r="K93" s="29">
        <v>0.8</v>
      </c>
      <c r="L93" s="29">
        <v>84</v>
      </c>
      <c r="M93" s="29">
        <v>18</v>
      </c>
      <c r="N93" s="29">
        <v>2.2000000000000002</v>
      </c>
      <c r="O93" s="30"/>
      <c r="P93" s="29" t="s">
        <v>290</v>
      </c>
      <c r="Q93" s="29">
        <v>0.1</v>
      </c>
      <c r="R93" s="29">
        <v>0.2</v>
      </c>
      <c r="S93" s="29">
        <v>1.3</v>
      </c>
      <c r="T93" s="31">
        <v>78</v>
      </c>
      <c r="U93" s="20" t="s">
        <v>168</v>
      </c>
    </row>
    <row r="94" spans="1:21" ht="15.6">
      <c r="A94" s="28">
        <v>4085</v>
      </c>
      <c r="B94" s="20" t="s">
        <v>168</v>
      </c>
      <c r="C94" s="20" t="s">
        <v>291</v>
      </c>
      <c r="D94" s="29">
        <v>23</v>
      </c>
      <c r="E94" s="29">
        <v>35</v>
      </c>
      <c r="F94" s="29">
        <v>86.4</v>
      </c>
      <c r="G94" s="29">
        <v>5.3</v>
      </c>
      <c r="H94" s="30"/>
      <c r="I94" s="29">
        <v>3.4</v>
      </c>
      <c r="J94" s="29">
        <v>2.5</v>
      </c>
      <c r="K94" s="29">
        <v>2.4</v>
      </c>
      <c r="L94" s="29">
        <v>169</v>
      </c>
      <c r="M94" s="29">
        <v>64.5</v>
      </c>
      <c r="N94" s="29">
        <v>2.7</v>
      </c>
      <c r="O94" s="30"/>
      <c r="P94" s="29" t="s">
        <v>292</v>
      </c>
      <c r="Q94" s="29">
        <v>0.1</v>
      </c>
      <c r="R94" s="29">
        <v>0.4</v>
      </c>
      <c r="S94" s="29">
        <v>2.2000000000000002</v>
      </c>
      <c r="T94" s="31">
        <v>185</v>
      </c>
      <c r="U94" s="20" t="s">
        <v>168</v>
      </c>
    </row>
    <row r="95" spans="1:21" ht="15.6">
      <c r="A95" s="28">
        <v>4087</v>
      </c>
      <c r="B95" s="20" t="s">
        <v>168</v>
      </c>
      <c r="C95" s="32" t="s">
        <v>293</v>
      </c>
      <c r="D95" s="29">
        <v>25</v>
      </c>
      <c r="E95" s="29">
        <v>30</v>
      </c>
      <c r="F95" s="29">
        <v>86.7</v>
      </c>
      <c r="G95" s="29">
        <v>4.7</v>
      </c>
      <c r="H95" s="30"/>
      <c r="I95" s="29">
        <v>2.8</v>
      </c>
      <c r="J95" s="29">
        <v>3.8</v>
      </c>
      <c r="K95" s="29">
        <v>2</v>
      </c>
      <c r="L95" s="29">
        <v>316</v>
      </c>
      <c r="M95" s="29">
        <v>55</v>
      </c>
      <c r="N95" s="29">
        <v>2.2000000000000002</v>
      </c>
      <c r="O95" s="30"/>
      <c r="P95" s="30"/>
      <c r="Q95" s="30"/>
      <c r="R95" s="30"/>
      <c r="S95" s="30"/>
      <c r="T95" s="31">
        <v>57</v>
      </c>
      <c r="U95" s="20" t="s">
        <v>168</v>
      </c>
    </row>
    <row r="96" spans="1:21" ht="15.6">
      <c r="A96" s="28">
        <v>4089</v>
      </c>
      <c r="B96" s="20" t="s">
        <v>168</v>
      </c>
      <c r="C96" s="20" t="s">
        <v>294</v>
      </c>
      <c r="D96" s="29">
        <v>10</v>
      </c>
      <c r="E96" s="29">
        <v>15</v>
      </c>
      <c r="F96" s="29">
        <v>95</v>
      </c>
      <c r="G96" s="29">
        <v>1.5</v>
      </c>
      <c r="H96" s="30"/>
      <c r="I96" s="29">
        <v>2.2000000000000002</v>
      </c>
      <c r="J96" s="29">
        <v>0.5</v>
      </c>
      <c r="K96" s="29">
        <v>0.8</v>
      </c>
      <c r="L96" s="29">
        <v>77</v>
      </c>
      <c r="M96" s="29">
        <v>34</v>
      </c>
      <c r="N96" s="29">
        <v>0.9</v>
      </c>
      <c r="O96" s="30"/>
      <c r="P96" s="29" t="s">
        <v>295</v>
      </c>
      <c r="Q96" s="29">
        <v>0.1</v>
      </c>
      <c r="R96" s="29">
        <v>0.1</v>
      </c>
      <c r="S96" s="29">
        <v>0.7</v>
      </c>
      <c r="T96" s="31">
        <v>15</v>
      </c>
      <c r="U96" s="20" t="s">
        <v>168</v>
      </c>
    </row>
    <row r="97" spans="1:21" ht="15.6">
      <c r="A97" s="28">
        <v>4090</v>
      </c>
      <c r="B97" s="20" t="s">
        <v>168</v>
      </c>
      <c r="C97" s="20" t="s">
        <v>296</v>
      </c>
      <c r="D97" s="29">
        <v>0</v>
      </c>
      <c r="E97" s="29">
        <v>18</v>
      </c>
      <c r="F97" s="29">
        <v>93.6</v>
      </c>
      <c r="G97" s="29">
        <v>1.4</v>
      </c>
      <c r="H97" s="30"/>
      <c r="I97" s="29">
        <v>3</v>
      </c>
      <c r="J97" s="29">
        <v>0.7</v>
      </c>
      <c r="K97" s="29">
        <v>1.3</v>
      </c>
      <c r="L97" s="29">
        <v>85</v>
      </c>
      <c r="M97" s="29">
        <v>56</v>
      </c>
      <c r="N97" s="29">
        <v>1.5</v>
      </c>
      <c r="O97" s="30"/>
      <c r="P97" s="29">
        <v>160</v>
      </c>
      <c r="Q97" s="29">
        <v>0</v>
      </c>
      <c r="R97" s="29">
        <v>0.1</v>
      </c>
      <c r="S97" s="29">
        <v>0.7</v>
      </c>
      <c r="T97" s="31">
        <v>26</v>
      </c>
      <c r="U97" s="20" t="s">
        <v>168</v>
      </c>
    </row>
    <row r="98" spans="1:21" ht="15.6">
      <c r="A98" s="28">
        <v>4093</v>
      </c>
      <c r="B98" s="20" t="s">
        <v>168</v>
      </c>
      <c r="C98" s="20" t="s">
        <v>297</v>
      </c>
      <c r="D98" s="29">
        <v>25</v>
      </c>
      <c r="E98" s="29">
        <v>18</v>
      </c>
      <c r="F98" s="29">
        <v>91.7</v>
      </c>
      <c r="G98" s="29">
        <v>2</v>
      </c>
      <c r="H98" s="30"/>
      <c r="I98" s="29">
        <v>2.4</v>
      </c>
      <c r="J98" s="29">
        <v>3</v>
      </c>
      <c r="K98" s="29">
        <v>0.9</v>
      </c>
      <c r="L98" s="29">
        <v>170</v>
      </c>
      <c r="M98" s="29">
        <v>49</v>
      </c>
      <c r="N98" s="29">
        <v>3.8</v>
      </c>
      <c r="O98" s="30"/>
      <c r="P98" s="29" t="s">
        <v>298</v>
      </c>
      <c r="Q98" s="29">
        <v>0.1</v>
      </c>
      <c r="R98" s="29">
        <v>0.2</v>
      </c>
      <c r="S98" s="29">
        <v>1</v>
      </c>
      <c r="T98" s="31">
        <v>41</v>
      </c>
      <c r="U98" s="20" t="s">
        <v>168</v>
      </c>
    </row>
    <row r="99" spans="1:21" ht="15.6">
      <c r="A99" s="36">
        <v>4093</v>
      </c>
      <c r="B99" s="20" t="s">
        <v>168</v>
      </c>
      <c r="C99" s="21" t="s">
        <v>299</v>
      </c>
      <c r="D99" s="37">
        <v>18.5</v>
      </c>
      <c r="E99" s="37">
        <v>29.75</v>
      </c>
      <c r="F99" s="37">
        <v>89.5</v>
      </c>
      <c r="G99" s="37">
        <v>2.7749999999999999</v>
      </c>
      <c r="H99" s="37">
        <v>0.17499999999999999</v>
      </c>
      <c r="I99" s="37">
        <v>4.1749999999999998</v>
      </c>
      <c r="J99" s="37">
        <v>1.75</v>
      </c>
      <c r="K99" s="37">
        <v>1.625</v>
      </c>
      <c r="L99" s="37">
        <v>200</v>
      </c>
      <c r="M99" s="37">
        <v>72.674999999999997</v>
      </c>
      <c r="N99" s="37">
        <v>3.9499999999999997</v>
      </c>
      <c r="O99" s="37">
        <v>0</v>
      </c>
      <c r="P99" s="37"/>
      <c r="Q99" s="37">
        <v>0.1</v>
      </c>
      <c r="R99" s="37">
        <v>0.5</v>
      </c>
      <c r="S99" s="37">
        <v>0.8</v>
      </c>
      <c r="T99" s="37">
        <v>49.75</v>
      </c>
      <c r="U99" s="20" t="s">
        <v>168</v>
      </c>
    </row>
    <row r="100" spans="1:21" ht="15.6">
      <c r="A100" s="28">
        <v>4095</v>
      </c>
      <c r="B100" s="20" t="s">
        <v>169</v>
      </c>
      <c r="C100" s="32" t="s">
        <v>300</v>
      </c>
      <c r="D100" s="29">
        <v>22</v>
      </c>
      <c r="E100" s="29">
        <v>36</v>
      </c>
      <c r="F100" s="29">
        <v>88</v>
      </c>
      <c r="G100" s="29">
        <v>2.8</v>
      </c>
      <c r="H100" s="30"/>
      <c r="I100" s="29">
        <v>6.3</v>
      </c>
      <c r="J100" s="29">
        <v>1.7</v>
      </c>
      <c r="K100" s="29">
        <v>1.2</v>
      </c>
      <c r="L100" s="29">
        <v>46</v>
      </c>
      <c r="M100" s="29">
        <v>50</v>
      </c>
      <c r="N100" s="29">
        <v>0.6</v>
      </c>
      <c r="O100" s="30"/>
      <c r="P100" s="29">
        <v>75</v>
      </c>
      <c r="Q100" s="29">
        <v>0.1</v>
      </c>
      <c r="R100" s="29">
        <v>0.1</v>
      </c>
      <c r="S100" s="29">
        <v>0.2</v>
      </c>
      <c r="T100" s="31">
        <v>40</v>
      </c>
      <c r="U100" s="20" t="s">
        <v>169</v>
      </c>
    </row>
    <row r="101" spans="1:21" ht="15.6">
      <c r="A101" s="28">
        <v>4097</v>
      </c>
      <c r="B101" s="20" t="s">
        <v>169</v>
      </c>
      <c r="C101" s="32" t="s">
        <v>301</v>
      </c>
      <c r="D101" s="29">
        <v>20</v>
      </c>
      <c r="E101" s="29">
        <v>18</v>
      </c>
      <c r="F101" s="29">
        <v>94</v>
      </c>
      <c r="G101" s="29">
        <v>0.8</v>
      </c>
      <c r="H101" s="30"/>
      <c r="I101" s="29">
        <v>3.7</v>
      </c>
      <c r="J101" s="29">
        <v>1</v>
      </c>
      <c r="K101" s="29">
        <v>0.5</v>
      </c>
      <c r="L101" s="29">
        <v>17</v>
      </c>
      <c r="M101" s="29">
        <v>14</v>
      </c>
      <c r="N101" s="29">
        <v>0.4</v>
      </c>
      <c r="O101" s="30"/>
      <c r="P101" s="29">
        <v>15</v>
      </c>
      <c r="Q101" s="29">
        <v>0</v>
      </c>
      <c r="R101" s="29">
        <v>0</v>
      </c>
      <c r="S101" s="29">
        <v>0.4</v>
      </c>
      <c r="T101" s="31">
        <v>4</v>
      </c>
      <c r="U101" s="20" t="s">
        <v>169</v>
      </c>
    </row>
    <row r="102" spans="1:21" ht="15.6">
      <c r="A102" s="28">
        <v>4098</v>
      </c>
      <c r="B102" s="20" t="s">
        <v>168</v>
      </c>
      <c r="C102" s="20" t="s">
        <v>302</v>
      </c>
      <c r="D102" s="29">
        <v>40</v>
      </c>
      <c r="E102" s="29">
        <v>30</v>
      </c>
      <c r="F102" s="29">
        <v>90.9</v>
      </c>
      <c r="G102" s="29">
        <v>2.5</v>
      </c>
      <c r="H102" s="30"/>
      <c r="I102" s="29">
        <v>4.9000000000000004</v>
      </c>
      <c r="J102" s="29">
        <v>0.9</v>
      </c>
      <c r="K102" s="29">
        <v>0.8</v>
      </c>
      <c r="L102" s="29">
        <v>26</v>
      </c>
      <c r="M102" s="29">
        <v>51</v>
      </c>
      <c r="N102" s="29">
        <v>1.4</v>
      </c>
      <c r="O102" s="30"/>
      <c r="P102" s="29">
        <v>40</v>
      </c>
      <c r="Q102" s="29">
        <v>0.1</v>
      </c>
      <c r="R102" s="29">
        <v>0.1</v>
      </c>
      <c r="S102" s="29">
        <v>0.6</v>
      </c>
      <c r="T102" s="31">
        <v>70</v>
      </c>
      <c r="U102" s="20" t="s">
        <v>168</v>
      </c>
    </row>
    <row r="103" spans="1:21" ht="15.6">
      <c r="A103" s="28">
        <v>4099</v>
      </c>
      <c r="B103" s="20" t="s">
        <v>168</v>
      </c>
      <c r="C103" s="20" t="s">
        <v>303</v>
      </c>
      <c r="D103" s="29">
        <v>25</v>
      </c>
      <c r="E103" s="29">
        <v>22</v>
      </c>
      <c r="F103" s="29">
        <v>88.4</v>
      </c>
      <c r="G103" s="29">
        <v>2.6</v>
      </c>
      <c r="H103" s="30"/>
      <c r="I103" s="29">
        <v>2.9</v>
      </c>
      <c r="J103" s="29">
        <v>5</v>
      </c>
      <c r="K103" s="29">
        <v>1.1000000000000001</v>
      </c>
      <c r="L103" s="29">
        <v>200</v>
      </c>
      <c r="M103" s="29">
        <v>12.2</v>
      </c>
      <c r="N103" s="29">
        <v>1.2</v>
      </c>
      <c r="O103" s="30"/>
      <c r="P103" s="29" t="s">
        <v>304</v>
      </c>
      <c r="Q103" s="29">
        <v>0.1</v>
      </c>
      <c r="R103" s="29">
        <v>0.1</v>
      </c>
      <c r="S103" s="29">
        <v>0.7</v>
      </c>
      <c r="T103" s="31">
        <v>63</v>
      </c>
      <c r="U103" s="20" t="s">
        <v>168</v>
      </c>
    </row>
    <row r="104" spans="1:21" ht="15.6">
      <c r="A104" s="28">
        <v>4100</v>
      </c>
      <c r="B104" s="20" t="s">
        <v>168</v>
      </c>
      <c r="C104" s="20" t="s">
        <v>305</v>
      </c>
      <c r="D104" s="29">
        <v>20</v>
      </c>
      <c r="E104" s="29">
        <v>25</v>
      </c>
      <c r="F104" s="29">
        <v>89.1</v>
      </c>
      <c r="G104" s="29">
        <v>2.9</v>
      </c>
      <c r="H104" s="30"/>
      <c r="I104" s="29">
        <v>3.4</v>
      </c>
      <c r="J104" s="29">
        <v>3.6</v>
      </c>
      <c r="K104" s="29">
        <v>1</v>
      </c>
      <c r="L104" s="29">
        <v>190</v>
      </c>
      <c r="M104" s="29">
        <v>18.3</v>
      </c>
      <c r="N104" s="29">
        <v>3.2</v>
      </c>
      <c r="O104" s="30"/>
      <c r="P104" s="29" t="s">
        <v>306</v>
      </c>
      <c r="Q104" s="30"/>
      <c r="R104" s="29" t="s">
        <v>180</v>
      </c>
      <c r="S104" s="30"/>
      <c r="T104" s="31">
        <v>13</v>
      </c>
      <c r="U104" s="20" t="s">
        <v>168</v>
      </c>
    </row>
    <row r="105" spans="1:21" ht="15.6">
      <c r="A105" s="28">
        <v>4101</v>
      </c>
      <c r="B105" s="20" t="s">
        <v>168</v>
      </c>
      <c r="C105" s="32" t="s">
        <v>307</v>
      </c>
      <c r="D105" s="29">
        <v>20</v>
      </c>
      <c r="E105" s="29">
        <v>118</v>
      </c>
      <c r="F105" s="29">
        <v>67.7</v>
      </c>
      <c r="G105" s="29">
        <v>6</v>
      </c>
      <c r="H105" s="30"/>
      <c r="I105" s="29">
        <v>23.5</v>
      </c>
      <c r="J105" s="29">
        <v>1.5</v>
      </c>
      <c r="K105" s="29">
        <v>1.3</v>
      </c>
      <c r="L105" s="29">
        <v>24</v>
      </c>
      <c r="M105" s="29">
        <v>181</v>
      </c>
      <c r="N105" s="29">
        <v>1.5</v>
      </c>
      <c r="O105" s="30"/>
      <c r="P105" s="30"/>
      <c r="Q105" s="29">
        <v>0.2</v>
      </c>
      <c r="R105" s="29">
        <v>0</v>
      </c>
      <c r="S105" s="29">
        <v>0.9</v>
      </c>
      <c r="T105" s="31">
        <v>10</v>
      </c>
      <c r="U105" s="20" t="s">
        <v>168</v>
      </c>
    </row>
    <row r="106" spans="1:21" ht="15.6">
      <c r="A106" s="28">
        <v>4102</v>
      </c>
      <c r="B106" s="20" t="s">
        <v>168</v>
      </c>
      <c r="C106" s="20" t="s">
        <v>308</v>
      </c>
      <c r="D106" s="29">
        <v>20</v>
      </c>
      <c r="E106" s="29">
        <v>29</v>
      </c>
      <c r="F106" s="29">
        <v>90</v>
      </c>
      <c r="G106" s="29">
        <v>1.4</v>
      </c>
      <c r="H106" s="30"/>
      <c r="I106" s="29">
        <v>5.9</v>
      </c>
      <c r="J106" s="29">
        <v>1.5</v>
      </c>
      <c r="K106" s="29">
        <v>1.2</v>
      </c>
      <c r="L106" s="29">
        <v>80</v>
      </c>
      <c r="M106" s="29">
        <v>58</v>
      </c>
      <c r="N106" s="29">
        <v>2</v>
      </c>
      <c r="O106" s="30"/>
      <c r="P106" s="29">
        <v>10</v>
      </c>
      <c r="Q106" s="29">
        <v>0.1</v>
      </c>
      <c r="R106" s="29">
        <v>0</v>
      </c>
      <c r="S106" s="29">
        <v>0.5</v>
      </c>
      <c r="T106" s="31">
        <v>20</v>
      </c>
      <c r="U106" s="20" t="s">
        <v>168</v>
      </c>
    </row>
    <row r="107" spans="1:21" ht="15.6">
      <c r="A107" s="28">
        <v>4107</v>
      </c>
      <c r="B107" s="20" t="s">
        <v>168</v>
      </c>
      <c r="C107" s="20" t="s">
        <v>309</v>
      </c>
      <c r="D107" s="29">
        <v>5</v>
      </c>
      <c r="E107" s="29">
        <v>13</v>
      </c>
      <c r="F107" s="29">
        <v>81</v>
      </c>
      <c r="G107" s="29">
        <v>1.3</v>
      </c>
      <c r="H107" s="30"/>
      <c r="I107" s="29">
        <v>2</v>
      </c>
      <c r="J107" s="29">
        <v>1.7</v>
      </c>
      <c r="K107" s="29">
        <v>14</v>
      </c>
      <c r="L107" s="29">
        <v>15</v>
      </c>
      <c r="M107" s="29">
        <v>18</v>
      </c>
      <c r="N107" s="29">
        <v>0.8</v>
      </c>
      <c r="O107" s="30"/>
      <c r="P107" s="29">
        <v>40</v>
      </c>
      <c r="Q107" s="29">
        <v>0.1</v>
      </c>
      <c r="R107" s="29">
        <v>0.1</v>
      </c>
      <c r="S107" s="29">
        <v>0.7</v>
      </c>
      <c r="T107" s="33"/>
      <c r="U107" s="20" t="s">
        <v>168</v>
      </c>
    </row>
    <row r="108" spans="1:21" ht="15.6">
      <c r="A108" s="28">
        <v>4108</v>
      </c>
      <c r="B108" s="20" t="s">
        <v>168</v>
      </c>
      <c r="C108" s="20" t="s">
        <v>310</v>
      </c>
      <c r="D108" s="29">
        <v>5</v>
      </c>
      <c r="E108" s="29">
        <v>16</v>
      </c>
      <c r="F108" s="29">
        <v>84.3</v>
      </c>
      <c r="G108" s="29">
        <v>1.5</v>
      </c>
      <c r="H108" s="30"/>
      <c r="I108" s="29">
        <v>2.5</v>
      </c>
      <c r="J108" s="29">
        <v>1.7</v>
      </c>
      <c r="K108" s="29">
        <v>10</v>
      </c>
      <c r="L108" s="30"/>
      <c r="M108" s="29" t="s">
        <v>180</v>
      </c>
      <c r="N108" s="30"/>
      <c r="O108" s="29" t="s">
        <v>180</v>
      </c>
      <c r="P108" s="30"/>
      <c r="Q108" s="30"/>
      <c r="R108" s="30"/>
      <c r="S108" s="30"/>
      <c r="T108" s="33"/>
      <c r="U108" s="20" t="s">
        <v>168</v>
      </c>
    </row>
    <row r="109" spans="1:21" ht="15.6">
      <c r="A109" s="28">
        <v>4108</v>
      </c>
      <c r="B109" s="20" t="s">
        <v>168</v>
      </c>
      <c r="C109" s="21" t="s">
        <v>311</v>
      </c>
      <c r="D109" s="37">
        <f>(D108+D107)/2</f>
        <v>5</v>
      </c>
      <c r="E109" s="37">
        <f t="shared" ref="E109:T109" si="0">(E108+E107)/2</f>
        <v>14.5</v>
      </c>
      <c r="F109" s="37">
        <f t="shared" si="0"/>
        <v>82.65</v>
      </c>
      <c r="G109" s="37">
        <f t="shared" si="0"/>
        <v>1.4</v>
      </c>
      <c r="H109" s="37">
        <f t="shared" si="0"/>
        <v>0</v>
      </c>
      <c r="I109" s="37">
        <f t="shared" si="0"/>
        <v>2.25</v>
      </c>
      <c r="J109" s="37">
        <f t="shared" si="0"/>
        <v>1.7</v>
      </c>
      <c r="K109" s="37">
        <f t="shared" si="0"/>
        <v>12</v>
      </c>
      <c r="L109" s="37">
        <f t="shared" si="0"/>
        <v>7.5</v>
      </c>
      <c r="M109" s="37"/>
      <c r="N109" s="37">
        <f t="shared" si="0"/>
        <v>0.4</v>
      </c>
      <c r="O109" s="37"/>
      <c r="P109" s="37">
        <f t="shared" si="0"/>
        <v>20</v>
      </c>
      <c r="Q109" s="37">
        <f t="shared" si="0"/>
        <v>0.05</v>
      </c>
      <c r="R109" s="37">
        <f t="shared" si="0"/>
        <v>0.05</v>
      </c>
      <c r="S109" s="37">
        <f t="shared" si="0"/>
        <v>0.35</v>
      </c>
      <c r="T109" s="37">
        <f t="shared" si="0"/>
        <v>0</v>
      </c>
      <c r="U109" s="20" t="s">
        <v>168</v>
      </c>
    </row>
    <row r="110" spans="1:21" ht="15.6">
      <c r="A110" s="28">
        <v>4109</v>
      </c>
      <c r="B110" s="20" t="s">
        <v>168</v>
      </c>
      <c r="C110" s="20" t="s">
        <v>312</v>
      </c>
      <c r="D110" s="29">
        <v>5</v>
      </c>
      <c r="E110" s="29">
        <v>18</v>
      </c>
      <c r="F110" s="29">
        <v>90.9</v>
      </c>
      <c r="G110" s="29">
        <v>1.2</v>
      </c>
      <c r="H110" s="30"/>
      <c r="I110" s="29">
        <v>3.3</v>
      </c>
      <c r="J110" s="29">
        <v>1.6</v>
      </c>
      <c r="K110" s="29">
        <v>3</v>
      </c>
      <c r="L110" s="29">
        <v>51</v>
      </c>
      <c r="M110" s="29">
        <v>34</v>
      </c>
      <c r="N110" s="29">
        <v>0.3</v>
      </c>
      <c r="O110" s="30"/>
      <c r="P110" s="29">
        <v>20</v>
      </c>
      <c r="Q110" s="29">
        <v>0</v>
      </c>
      <c r="R110" s="29">
        <v>0.1</v>
      </c>
      <c r="S110" s="29">
        <v>0.3</v>
      </c>
      <c r="T110" s="31">
        <v>20</v>
      </c>
      <c r="U110" s="20" t="s">
        <v>168</v>
      </c>
    </row>
    <row r="111" spans="1:21" ht="15.6">
      <c r="A111" s="28">
        <v>4110</v>
      </c>
      <c r="B111" s="20" t="s">
        <v>168</v>
      </c>
      <c r="C111" s="20" t="s">
        <v>313</v>
      </c>
      <c r="D111" s="29">
        <v>5</v>
      </c>
      <c r="E111" s="29">
        <v>17</v>
      </c>
      <c r="F111" s="29">
        <v>90.1</v>
      </c>
      <c r="G111" s="29">
        <v>1.8</v>
      </c>
      <c r="H111" s="30"/>
      <c r="I111" s="29">
        <v>2.4</v>
      </c>
      <c r="J111" s="29">
        <v>2.1</v>
      </c>
      <c r="K111" s="29">
        <v>3.6</v>
      </c>
      <c r="L111" s="29">
        <v>100</v>
      </c>
      <c r="M111" s="29">
        <v>21</v>
      </c>
      <c r="N111" s="29">
        <v>3</v>
      </c>
      <c r="O111" s="30"/>
      <c r="P111" s="29">
        <v>745</v>
      </c>
      <c r="Q111" s="29">
        <v>0</v>
      </c>
      <c r="R111" s="29">
        <v>0.1</v>
      </c>
      <c r="S111" s="29">
        <v>0.5</v>
      </c>
      <c r="T111" s="31">
        <v>3</v>
      </c>
      <c r="U111" s="20" t="s">
        <v>168</v>
      </c>
    </row>
    <row r="112" spans="1:21" ht="15.6">
      <c r="A112" s="36">
        <v>4110</v>
      </c>
      <c r="B112" s="20" t="s">
        <v>168</v>
      </c>
      <c r="C112" s="21" t="s">
        <v>314</v>
      </c>
      <c r="D112" s="37">
        <v>5</v>
      </c>
      <c r="E112" s="37">
        <v>17</v>
      </c>
      <c r="F112" s="37">
        <v>90.1</v>
      </c>
      <c r="G112" s="37">
        <v>1.8</v>
      </c>
      <c r="H112" s="38"/>
      <c r="I112" s="37">
        <v>2.4</v>
      </c>
      <c r="J112" s="37">
        <v>2.1</v>
      </c>
      <c r="K112" s="37">
        <v>3.6</v>
      </c>
      <c r="L112" s="37">
        <v>100</v>
      </c>
      <c r="M112" s="37">
        <v>21</v>
      </c>
      <c r="N112" s="37">
        <v>3</v>
      </c>
      <c r="O112" s="38"/>
      <c r="P112" s="37">
        <v>745</v>
      </c>
      <c r="Q112" s="37">
        <v>0</v>
      </c>
      <c r="R112" s="37">
        <v>0.1</v>
      </c>
      <c r="S112" s="37">
        <v>0.5</v>
      </c>
      <c r="T112" s="39">
        <v>3</v>
      </c>
      <c r="U112" s="20" t="s">
        <v>168</v>
      </c>
    </row>
    <row r="113" spans="1:21" ht="15.6">
      <c r="A113" s="28">
        <v>4113</v>
      </c>
      <c r="B113" s="20" t="s">
        <v>168</v>
      </c>
      <c r="C113" s="20" t="s">
        <v>315</v>
      </c>
      <c r="D113" s="37">
        <v>5</v>
      </c>
      <c r="E113" s="37">
        <v>17</v>
      </c>
      <c r="F113" s="37">
        <v>90.1</v>
      </c>
      <c r="G113" s="37">
        <v>1.8</v>
      </c>
      <c r="H113" s="38"/>
      <c r="I113" s="37">
        <v>2.4</v>
      </c>
      <c r="J113" s="37">
        <v>2.1</v>
      </c>
      <c r="K113" s="37">
        <v>3.6</v>
      </c>
      <c r="L113" s="37">
        <v>100</v>
      </c>
      <c r="M113" s="37">
        <v>21</v>
      </c>
      <c r="N113" s="37">
        <v>3</v>
      </c>
      <c r="O113" s="38"/>
      <c r="P113" s="37">
        <v>745</v>
      </c>
      <c r="Q113" s="37">
        <v>0</v>
      </c>
      <c r="R113" s="37">
        <v>0.1</v>
      </c>
      <c r="S113" s="37">
        <v>0.5</v>
      </c>
      <c r="T113" s="39">
        <v>3</v>
      </c>
      <c r="U113" s="20" t="s">
        <v>168</v>
      </c>
    </row>
    <row r="114" spans="1:21" ht="15.6">
      <c r="A114" s="28">
        <v>4114</v>
      </c>
      <c r="B114" s="20" t="s">
        <v>168</v>
      </c>
      <c r="C114" s="20" t="s">
        <v>316</v>
      </c>
      <c r="D114" s="29">
        <v>30</v>
      </c>
      <c r="E114" s="29">
        <v>22</v>
      </c>
      <c r="F114" s="29">
        <v>88.5</v>
      </c>
      <c r="G114" s="29">
        <v>1.4</v>
      </c>
      <c r="H114" s="30"/>
      <c r="I114" s="29">
        <v>4</v>
      </c>
      <c r="J114" s="29">
        <v>0.7</v>
      </c>
      <c r="K114" s="29">
        <v>5.4</v>
      </c>
      <c r="L114" s="29">
        <v>12</v>
      </c>
      <c r="M114" s="29">
        <v>5</v>
      </c>
      <c r="N114" s="29">
        <v>1.3</v>
      </c>
      <c r="O114" s="30"/>
      <c r="P114" s="29">
        <v>18</v>
      </c>
      <c r="Q114" s="29">
        <v>0</v>
      </c>
      <c r="R114" s="29">
        <v>0</v>
      </c>
      <c r="S114" s="29">
        <v>0.1</v>
      </c>
      <c r="T114" s="33"/>
      <c r="U114" s="20" t="s">
        <v>168</v>
      </c>
    </row>
    <row r="115" spans="1:21" ht="15.6">
      <c r="A115" s="28">
        <v>4119</v>
      </c>
      <c r="B115" s="20" t="s">
        <v>168</v>
      </c>
      <c r="C115" s="32" t="s">
        <v>317</v>
      </c>
      <c r="D115" s="29">
        <v>10</v>
      </c>
      <c r="E115" s="29">
        <v>304</v>
      </c>
      <c r="F115" s="29">
        <v>11.4</v>
      </c>
      <c r="G115" s="29">
        <v>10.6</v>
      </c>
      <c r="H115" s="29">
        <v>0.2</v>
      </c>
      <c r="I115" s="29">
        <v>65</v>
      </c>
      <c r="J115" s="29">
        <v>7</v>
      </c>
      <c r="K115" s="29">
        <v>5.8</v>
      </c>
      <c r="L115" s="29">
        <v>357</v>
      </c>
      <c r="M115" s="29">
        <v>201</v>
      </c>
      <c r="N115" s="29">
        <v>56.1</v>
      </c>
      <c r="O115" s="30"/>
      <c r="P115" s="29">
        <v>20</v>
      </c>
      <c r="Q115" s="29">
        <v>0.2</v>
      </c>
      <c r="R115" s="29">
        <v>0.6</v>
      </c>
      <c r="S115" s="29">
        <v>2.7</v>
      </c>
      <c r="T115" s="31">
        <v>0</v>
      </c>
      <c r="U115" s="20" t="s">
        <v>168</v>
      </c>
    </row>
    <row r="116" spans="1:21" ht="15.6">
      <c r="A116" s="28">
        <v>4120</v>
      </c>
      <c r="B116" s="20" t="s">
        <v>168</v>
      </c>
      <c r="C116" s="20" t="s">
        <v>318</v>
      </c>
      <c r="D116" s="29">
        <v>10</v>
      </c>
      <c r="E116" s="29">
        <v>274</v>
      </c>
      <c r="F116" s="29">
        <v>13</v>
      </c>
      <c r="G116" s="29">
        <v>36</v>
      </c>
      <c r="H116" s="29">
        <v>4</v>
      </c>
      <c r="I116" s="29">
        <v>23.5</v>
      </c>
      <c r="J116" s="29">
        <v>17</v>
      </c>
      <c r="K116" s="29">
        <v>6.5</v>
      </c>
      <c r="L116" s="29">
        <v>184</v>
      </c>
      <c r="M116" s="29">
        <v>606</v>
      </c>
      <c r="N116" s="29">
        <v>35</v>
      </c>
      <c r="O116" s="30"/>
      <c r="P116" s="30"/>
      <c r="Q116" s="29">
        <v>0.2</v>
      </c>
      <c r="R116" s="29">
        <v>1.6</v>
      </c>
      <c r="S116" s="29">
        <v>23.4</v>
      </c>
      <c r="T116" s="33"/>
      <c r="U116" s="20" t="s">
        <v>168</v>
      </c>
    </row>
    <row r="117" spans="1:21" ht="15.6">
      <c r="A117" s="28">
        <v>4122</v>
      </c>
      <c r="B117" s="20" t="s">
        <v>168</v>
      </c>
      <c r="C117" s="20" t="s">
        <v>319</v>
      </c>
      <c r="D117" s="29">
        <v>10</v>
      </c>
      <c r="E117" s="29">
        <v>32</v>
      </c>
      <c r="F117" s="29">
        <v>90.4</v>
      </c>
      <c r="G117" s="29">
        <v>4</v>
      </c>
      <c r="H117" s="29">
        <v>0.3</v>
      </c>
      <c r="I117" s="29">
        <v>3.4</v>
      </c>
      <c r="J117" s="29">
        <v>1.1000000000000001</v>
      </c>
      <c r="K117" s="29">
        <v>0.8</v>
      </c>
      <c r="L117" s="29">
        <v>28</v>
      </c>
      <c r="M117" s="29">
        <v>80</v>
      </c>
      <c r="N117" s="29">
        <v>1.3</v>
      </c>
      <c r="O117" s="30"/>
      <c r="P117" s="29">
        <v>10</v>
      </c>
      <c r="Q117" s="29">
        <v>0.1</v>
      </c>
      <c r="R117" s="29">
        <v>0.2</v>
      </c>
      <c r="S117" s="29">
        <v>3.3</v>
      </c>
      <c r="T117" s="31">
        <v>4</v>
      </c>
      <c r="U117" s="20" t="s">
        <v>168</v>
      </c>
    </row>
    <row r="118" spans="1:21" ht="15.6">
      <c r="A118" s="28">
        <v>4123</v>
      </c>
      <c r="B118" s="20" t="s">
        <v>168</v>
      </c>
      <c r="C118" s="20" t="s">
        <v>320</v>
      </c>
      <c r="D118" s="29">
        <v>10</v>
      </c>
      <c r="E118" s="29">
        <v>57</v>
      </c>
      <c r="F118" s="29">
        <v>87.9</v>
      </c>
      <c r="G118" s="29">
        <v>3.6</v>
      </c>
      <c r="H118" s="29">
        <v>3.2</v>
      </c>
      <c r="I118" s="29">
        <v>3.4</v>
      </c>
      <c r="J118" s="29">
        <v>1.1000000000000001</v>
      </c>
      <c r="K118" s="29">
        <v>0.8</v>
      </c>
      <c r="L118" s="29">
        <v>28</v>
      </c>
      <c r="M118" s="29">
        <v>80</v>
      </c>
      <c r="N118" s="29">
        <v>1.2</v>
      </c>
      <c r="O118" s="30"/>
      <c r="P118" s="29">
        <v>0</v>
      </c>
      <c r="Q118" s="29">
        <v>0.1</v>
      </c>
      <c r="R118" s="29">
        <v>0.3</v>
      </c>
      <c r="S118" s="29">
        <v>9.1</v>
      </c>
      <c r="T118" s="31">
        <v>2</v>
      </c>
      <c r="U118" s="20" t="s">
        <v>168</v>
      </c>
    </row>
    <row r="119" spans="1:21" ht="15.6">
      <c r="A119" s="28">
        <v>4124</v>
      </c>
      <c r="B119" s="20" t="s">
        <v>168</v>
      </c>
      <c r="C119" s="20" t="s">
        <v>321</v>
      </c>
      <c r="D119" s="29">
        <v>25</v>
      </c>
      <c r="E119" s="29">
        <v>34</v>
      </c>
      <c r="F119" s="29">
        <v>88</v>
      </c>
      <c r="G119" s="29">
        <v>4.5999999999999996</v>
      </c>
      <c r="H119" s="29">
        <v>0.8</v>
      </c>
      <c r="I119" s="29">
        <v>2.2000000000000002</v>
      </c>
      <c r="J119" s="29">
        <v>3.5</v>
      </c>
      <c r="K119" s="29">
        <v>0.9</v>
      </c>
      <c r="L119" s="29">
        <v>2.2999999999999998</v>
      </c>
      <c r="M119" s="29">
        <v>59</v>
      </c>
      <c r="N119" s="29">
        <v>0.7</v>
      </c>
      <c r="O119" s="30"/>
      <c r="P119" s="29">
        <v>10</v>
      </c>
      <c r="Q119" s="29">
        <v>0.3</v>
      </c>
      <c r="R119" s="29">
        <v>0.3</v>
      </c>
      <c r="S119" s="29">
        <v>5.2</v>
      </c>
      <c r="T119" s="31">
        <v>6</v>
      </c>
      <c r="U119" s="20" t="s">
        <v>168</v>
      </c>
    </row>
    <row r="120" spans="1:21" ht="15.6">
      <c r="A120" s="28">
        <v>5002</v>
      </c>
      <c r="B120" s="20" t="s">
        <v>171</v>
      </c>
      <c r="C120" s="20" t="s">
        <v>322</v>
      </c>
      <c r="D120" s="29">
        <v>25</v>
      </c>
      <c r="E120" s="29">
        <v>37</v>
      </c>
      <c r="F120" s="29">
        <v>88.8</v>
      </c>
      <c r="G120" s="29">
        <v>0.9</v>
      </c>
      <c r="H120" s="30"/>
      <c r="I120" s="29">
        <v>8.4</v>
      </c>
      <c r="J120" s="29">
        <v>1.4</v>
      </c>
      <c r="K120" s="29">
        <v>0.5</v>
      </c>
      <c r="L120" s="29">
        <v>34</v>
      </c>
      <c r="M120" s="29">
        <v>23</v>
      </c>
      <c r="N120" s="29">
        <v>0.4</v>
      </c>
      <c r="O120" s="30"/>
      <c r="P120" s="29">
        <v>585</v>
      </c>
      <c r="Q120" s="29">
        <v>0.1</v>
      </c>
      <c r="R120" s="29">
        <v>0</v>
      </c>
      <c r="S120" s="29">
        <v>0.2</v>
      </c>
      <c r="T120" s="31">
        <v>40</v>
      </c>
      <c r="U120" s="20" t="s">
        <v>171</v>
      </c>
    </row>
    <row r="121" spans="1:21" ht="15.6">
      <c r="A121" s="28">
        <v>5003</v>
      </c>
      <c r="B121" s="20" t="s">
        <v>171</v>
      </c>
      <c r="C121" s="42" t="s">
        <v>323</v>
      </c>
      <c r="D121" s="29">
        <v>25</v>
      </c>
      <c r="E121" s="29">
        <v>23</v>
      </c>
      <c r="F121" s="29">
        <v>92.5</v>
      </c>
      <c r="G121" s="29">
        <v>0.9</v>
      </c>
      <c r="H121" s="30"/>
      <c r="I121" s="29">
        <v>4.8</v>
      </c>
      <c r="J121" s="29">
        <v>1.3</v>
      </c>
      <c r="K121" s="29">
        <v>0.5</v>
      </c>
      <c r="L121" s="29">
        <v>40</v>
      </c>
      <c r="M121" s="29">
        <v>22</v>
      </c>
      <c r="N121" s="29">
        <v>0.6</v>
      </c>
      <c r="O121" s="30"/>
      <c r="P121" s="30"/>
      <c r="Q121" s="29">
        <v>0</v>
      </c>
      <c r="R121" s="29">
        <v>0</v>
      </c>
      <c r="S121" s="29">
        <v>0.1</v>
      </c>
      <c r="T121" s="31">
        <v>40</v>
      </c>
      <c r="U121" s="20" t="s">
        <v>171</v>
      </c>
    </row>
    <row r="122" spans="1:21" ht="15.6">
      <c r="A122" s="28">
        <v>5004</v>
      </c>
      <c r="B122" s="20" t="s">
        <v>171</v>
      </c>
      <c r="C122" s="20" t="s">
        <v>324</v>
      </c>
      <c r="D122" s="29">
        <v>53.4</v>
      </c>
      <c r="E122" s="29">
        <v>72</v>
      </c>
      <c r="F122" s="29">
        <v>80.3</v>
      </c>
      <c r="G122" s="29">
        <v>1.5</v>
      </c>
      <c r="H122" s="29">
        <v>0</v>
      </c>
      <c r="I122" s="29">
        <v>16.399999999999999</v>
      </c>
      <c r="J122" s="29">
        <v>1.3</v>
      </c>
      <c r="K122" s="29">
        <v>0.5</v>
      </c>
      <c r="L122" s="29">
        <v>27.8</v>
      </c>
      <c r="M122" s="29">
        <v>15</v>
      </c>
      <c r="N122" s="29">
        <v>0.5</v>
      </c>
      <c r="O122" s="30"/>
      <c r="P122" s="30"/>
      <c r="Q122" s="30"/>
      <c r="R122" s="30"/>
      <c r="S122" s="30"/>
      <c r="T122" s="33"/>
      <c r="U122" s="20" t="s">
        <v>171</v>
      </c>
    </row>
    <row r="123" spans="1:21" ht="15.6">
      <c r="A123" s="28">
        <v>5006</v>
      </c>
      <c r="B123" s="20" t="s">
        <v>171</v>
      </c>
      <c r="C123" s="42" t="s">
        <v>325</v>
      </c>
      <c r="D123" s="29">
        <v>24</v>
      </c>
      <c r="E123" s="29">
        <v>66</v>
      </c>
      <c r="F123" s="29">
        <v>83.2</v>
      </c>
      <c r="G123" s="29">
        <v>0.9</v>
      </c>
      <c r="H123" s="29">
        <v>0.3</v>
      </c>
      <c r="I123" s="29">
        <v>15</v>
      </c>
      <c r="J123" s="30"/>
      <c r="K123" s="29">
        <v>0.6</v>
      </c>
      <c r="L123" s="29">
        <v>12</v>
      </c>
      <c r="M123" s="29">
        <v>25</v>
      </c>
      <c r="N123" s="29">
        <v>0.5</v>
      </c>
      <c r="O123" s="30"/>
      <c r="P123" s="29">
        <v>40</v>
      </c>
      <c r="Q123" s="29">
        <v>0</v>
      </c>
      <c r="R123" s="29">
        <v>0.1</v>
      </c>
      <c r="S123" s="29">
        <v>0.6</v>
      </c>
      <c r="T123" s="31">
        <v>6</v>
      </c>
      <c r="U123" s="20" t="s">
        <v>171</v>
      </c>
    </row>
    <row r="124" spans="1:21" ht="15.6">
      <c r="A124" s="28">
        <v>5007</v>
      </c>
      <c r="B124" s="20" t="s">
        <v>171</v>
      </c>
      <c r="C124" s="20" t="s">
        <v>326</v>
      </c>
      <c r="D124" s="29">
        <v>30</v>
      </c>
      <c r="E124" s="29">
        <v>97</v>
      </c>
      <c r="F124" s="29">
        <v>74.400000000000006</v>
      </c>
      <c r="G124" s="29">
        <v>1.5</v>
      </c>
      <c r="H124" s="29">
        <v>0.2</v>
      </c>
      <c r="I124" s="29">
        <v>22.2</v>
      </c>
      <c r="J124" s="29">
        <v>0.8</v>
      </c>
      <c r="K124" s="29">
        <v>0.9</v>
      </c>
      <c r="L124" s="29">
        <v>8</v>
      </c>
      <c r="M124" s="29">
        <v>28</v>
      </c>
      <c r="N124" s="29">
        <v>0.6</v>
      </c>
      <c r="O124" s="30"/>
      <c r="P124" s="29">
        <v>45</v>
      </c>
      <c r="Q124" s="29">
        <v>0</v>
      </c>
      <c r="R124" s="29">
        <v>0.1</v>
      </c>
      <c r="S124" s="29">
        <v>0.7</v>
      </c>
      <c r="T124" s="31">
        <v>6</v>
      </c>
      <c r="U124" s="20" t="s">
        <v>171</v>
      </c>
    </row>
    <row r="125" spans="1:21" ht="15.6">
      <c r="A125" s="28">
        <v>5007</v>
      </c>
      <c r="B125" s="20" t="s">
        <v>171</v>
      </c>
      <c r="C125" s="42" t="s">
        <v>327</v>
      </c>
      <c r="D125" s="29">
        <f>(D123+D124)/2</f>
        <v>27</v>
      </c>
      <c r="E125" s="29">
        <f t="shared" ref="E125:T125" si="1">(E123+E124)/2</f>
        <v>81.5</v>
      </c>
      <c r="F125" s="29">
        <f t="shared" si="1"/>
        <v>78.800000000000011</v>
      </c>
      <c r="G125" s="29">
        <f t="shared" si="1"/>
        <v>1.2</v>
      </c>
      <c r="H125" s="29">
        <f t="shared" si="1"/>
        <v>0.25</v>
      </c>
      <c r="I125" s="29">
        <f t="shared" si="1"/>
        <v>18.600000000000001</v>
      </c>
      <c r="J125" s="29">
        <f t="shared" si="1"/>
        <v>0.4</v>
      </c>
      <c r="K125" s="29">
        <f t="shared" si="1"/>
        <v>0.75</v>
      </c>
      <c r="L125" s="29">
        <f t="shared" si="1"/>
        <v>10</v>
      </c>
      <c r="M125" s="29">
        <f t="shared" si="1"/>
        <v>26.5</v>
      </c>
      <c r="N125" s="29">
        <f t="shared" si="1"/>
        <v>0.55000000000000004</v>
      </c>
      <c r="O125" s="29">
        <f t="shared" si="1"/>
        <v>0</v>
      </c>
      <c r="P125" s="29">
        <f t="shared" si="1"/>
        <v>42.5</v>
      </c>
      <c r="Q125" s="29">
        <f t="shared" si="1"/>
        <v>0</v>
      </c>
      <c r="R125" s="29">
        <f t="shared" si="1"/>
        <v>0.1</v>
      </c>
      <c r="S125" s="29">
        <f t="shared" si="1"/>
        <v>0.64999999999999991</v>
      </c>
      <c r="T125" s="29">
        <f t="shared" si="1"/>
        <v>6</v>
      </c>
      <c r="U125" s="20" t="s">
        <v>171</v>
      </c>
    </row>
    <row r="126" spans="1:21" s="47" customFormat="1" ht="15.6">
      <c r="A126" s="43">
        <v>5011</v>
      </c>
      <c r="B126" s="20" t="s">
        <v>171</v>
      </c>
      <c r="C126" s="20" t="s">
        <v>328</v>
      </c>
      <c r="D126" s="44">
        <v>48</v>
      </c>
      <c r="E126" s="44">
        <v>16</v>
      </c>
      <c r="F126" s="44">
        <v>95.5</v>
      </c>
      <c r="G126" s="44">
        <v>1.2</v>
      </c>
      <c r="H126" s="44">
        <v>0.2</v>
      </c>
      <c r="I126" s="44">
        <v>2.2999999999999998</v>
      </c>
      <c r="J126" s="44">
        <v>0.5</v>
      </c>
      <c r="K126" s="44">
        <v>0.3</v>
      </c>
      <c r="L126" s="44">
        <v>8</v>
      </c>
      <c r="M126" s="44">
        <v>13</v>
      </c>
      <c r="N126" s="44">
        <v>1</v>
      </c>
      <c r="O126" s="45"/>
      <c r="P126" s="44" t="s">
        <v>329</v>
      </c>
      <c r="Q126" s="44">
        <v>0</v>
      </c>
      <c r="R126" s="44">
        <v>0</v>
      </c>
      <c r="S126" s="44">
        <v>0.2</v>
      </c>
      <c r="T126" s="46">
        <v>7</v>
      </c>
      <c r="U126" s="20" t="s">
        <v>171</v>
      </c>
    </row>
    <row r="127" spans="1:21" ht="15.6">
      <c r="A127" s="28">
        <v>5015</v>
      </c>
      <c r="B127" s="20" t="s">
        <v>169</v>
      </c>
      <c r="C127" s="32" t="s">
        <v>330</v>
      </c>
      <c r="D127" s="29">
        <v>40</v>
      </c>
      <c r="E127" s="29">
        <v>38</v>
      </c>
      <c r="F127" s="29">
        <v>89.7</v>
      </c>
      <c r="G127" s="29">
        <v>0.5</v>
      </c>
      <c r="H127" s="30"/>
      <c r="I127" s="29">
        <v>8.9</v>
      </c>
      <c r="J127" s="29">
        <v>0.4</v>
      </c>
      <c r="K127" s="29">
        <v>0.5</v>
      </c>
      <c r="L127" s="29">
        <v>32</v>
      </c>
      <c r="M127" s="29">
        <v>11</v>
      </c>
      <c r="N127" s="29">
        <v>0.3</v>
      </c>
      <c r="O127" s="30"/>
      <c r="P127" s="29">
        <v>160</v>
      </c>
      <c r="Q127" s="29">
        <v>0.1</v>
      </c>
      <c r="R127" s="29">
        <v>0</v>
      </c>
      <c r="S127" s="29">
        <v>0.2</v>
      </c>
      <c r="T127" s="31">
        <v>26</v>
      </c>
      <c r="U127" s="20" t="s">
        <v>169</v>
      </c>
    </row>
    <row r="128" spans="1:21" ht="15.6">
      <c r="A128" s="28">
        <v>5017</v>
      </c>
      <c r="B128" s="20" t="s">
        <v>171</v>
      </c>
      <c r="C128" s="20" t="s">
        <v>331</v>
      </c>
      <c r="D128" s="29">
        <v>12</v>
      </c>
      <c r="E128" s="29">
        <v>35</v>
      </c>
      <c r="F128" s="29">
        <v>90.1</v>
      </c>
      <c r="G128" s="29">
        <v>1</v>
      </c>
      <c r="H128" s="30"/>
      <c r="I128" s="29">
        <v>7.7</v>
      </c>
      <c r="J128" s="29">
        <v>0.6</v>
      </c>
      <c r="K128" s="29">
        <v>0.6</v>
      </c>
      <c r="L128" s="29">
        <v>40</v>
      </c>
      <c r="M128" s="29">
        <v>32</v>
      </c>
      <c r="N128" s="29">
        <v>2.6</v>
      </c>
      <c r="O128" s="30"/>
      <c r="P128" s="29" t="s">
        <v>332</v>
      </c>
      <c r="Q128" s="29">
        <v>0</v>
      </c>
      <c r="R128" s="29">
        <v>0</v>
      </c>
      <c r="S128" s="29">
        <v>0.4</v>
      </c>
      <c r="T128" s="31">
        <v>54</v>
      </c>
      <c r="U128" s="20" t="s">
        <v>171</v>
      </c>
    </row>
    <row r="129" spans="1:21" ht="15.6">
      <c r="A129" s="28">
        <v>5021</v>
      </c>
      <c r="B129" s="20" t="s">
        <v>171</v>
      </c>
      <c r="C129" s="20" t="s">
        <v>333</v>
      </c>
      <c r="D129" s="29">
        <v>13</v>
      </c>
      <c r="E129" s="29">
        <v>38</v>
      </c>
      <c r="F129" s="29">
        <v>87.5</v>
      </c>
      <c r="G129" s="29">
        <v>0.9</v>
      </c>
      <c r="H129" s="30"/>
      <c r="I129" s="29">
        <v>8.6</v>
      </c>
      <c r="J129" s="30">
        <v>2.5</v>
      </c>
      <c r="K129" s="29">
        <v>0.5</v>
      </c>
      <c r="L129" s="29">
        <v>10</v>
      </c>
      <c r="M129" s="29">
        <v>19</v>
      </c>
      <c r="N129" s="29">
        <v>0.2</v>
      </c>
      <c r="O129" s="30"/>
      <c r="P129" s="29" t="s">
        <v>334</v>
      </c>
      <c r="Q129" s="29">
        <v>0</v>
      </c>
      <c r="R129" s="29">
        <v>0</v>
      </c>
      <c r="S129" s="29">
        <v>0.2</v>
      </c>
      <c r="T129" s="31">
        <v>16</v>
      </c>
      <c r="U129" s="20" t="s">
        <v>171</v>
      </c>
    </row>
    <row r="130" spans="1:21" ht="15.6">
      <c r="A130" s="28">
        <v>5047</v>
      </c>
      <c r="B130" s="20" t="s">
        <v>171</v>
      </c>
      <c r="C130" s="20" t="s">
        <v>335</v>
      </c>
      <c r="D130" s="29">
        <v>26</v>
      </c>
      <c r="E130" s="29">
        <v>38</v>
      </c>
      <c r="F130" s="29">
        <v>89.5</v>
      </c>
      <c r="G130" s="29">
        <v>0.8</v>
      </c>
      <c r="H130" s="30"/>
      <c r="I130" s="29">
        <v>8.6</v>
      </c>
      <c r="J130" s="30">
        <v>0.6</v>
      </c>
      <c r="K130" s="29">
        <v>0.5</v>
      </c>
      <c r="L130" s="29">
        <v>35</v>
      </c>
      <c r="M130" s="29">
        <v>17</v>
      </c>
      <c r="N130" s="29">
        <v>0.4</v>
      </c>
      <c r="O130" s="30"/>
      <c r="P130" s="29" t="s">
        <v>336</v>
      </c>
      <c r="Q130" s="29">
        <v>0.1</v>
      </c>
      <c r="R130" s="29">
        <v>0</v>
      </c>
      <c r="S130" s="29">
        <v>0.2</v>
      </c>
      <c r="T130" s="31">
        <v>55</v>
      </c>
      <c r="U130" s="20" t="s">
        <v>171</v>
      </c>
    </row>
    <row r="131" spans="1:21" ht="15.6">
      <c r="A131" s="28">
        <v>5051</v>
      </c>
      <c r="B131" s="20" t="s">
        <v>171</v>
      </c>
      <c r="C131" s="20" t="s">
        <v>337</v>
      </c>
      <c r="D131" s="29">
        <v>12</v>
      </c>
      <c r="E131" s="29">
        <v>47</v>
      </c>
      <c r="F131" s="29">
        <v>87.2</v>
      </c>
      <c r="G131" s="29">
        <v>0.5</v>
      </c>
      <c r="H131" s="30"/>
      <c r="I131" s="29">
        <v>11.3</v>
      </c>
      <c r="J131" s="30">
        <v>0.6</v>
      </c>
      <c r="K131" s="29">
        <v>0.5</v>
      </c>
      <c r="L131" s="29">
        <v>19</v>
      </c>
      <c r="M131" s="29">
        <v>13</v>
      </c>
      <c r="N131" s="29">
        <v>2.5</v>
      </c>
      <c r="O131" s="30"/>
      <c r="P131" s="29">
        <v>75</v>
      </c>
      <c r="Q131" s="29">
        <v>0</v>
      </c>
      <c r="R131" s="29">
        <v>0</v>
      </c>
      <c r="S131" s="29">
        <v>0.2</v>
      </c>
      <c r="T131" s="31">
        <v>7</v>
      </c>
      <c r="U131" s="20" t="s">
        <v>171</v>
      </c>
    </row>
    <row r="132" spans="1:21" ht="15.6">
      <c r="A132" s="28">
        <v>5052</v>
      </c>
      <c r="B132" s="20" t="s">
        <v>171</v>
      </c>
      <c r="C132" s="20" t="s">
        <v>338</v>
      </c>
      <c r="D132" s="29">
        <v>48</v>
      </c>
      <c r="E132" s="29">
        <v>43</v>
      </c>
      <c r="F132" s="29">
        <v>87.8</v>
      </c>
      <c r="G132" s="29">
        <v>0.7</v>
      </c>
      <c r="H132" s="30"/>
      <c r="I132" s="29">
        <v>10</v>
      </c>
      <c r="J132" s="30">
        <v>1.1000000000000001</v>
      </c>
      <c r="K132" s="29">
        <v>0.4</v>
      </c>
      <c r="L132" s="29">
        <v>6</v>
      </c>
      <c r="M132" s="29">
        <v>34</v>
      </c>
      <c r="N132" s="29">
        <v>0.5</v>
      </c>
      <c r="O132" s="30"/>
      <c r="P132" s="29">
        <v>15</v>
      </c>
      <c r="Q132" s="29">
        <v>0</v>
      </c>
      <c r="R132" s="29">
        <v>0</v>
      </c>
      <c r="S132" s="29">
        <v>0.7</v>
      </c>
      <c r="T132" s="31">
        <v>36</v>
      </c>
      <c r="U132" s="20" t="s">
        <v>171</v>
      </c>
    </row>
    <row r="133" spans="1:21" ht="15.6">
      <c r="A133" s="28">
        <v>5055</v>
      </c>
      <c r="B133" s="20" t="s">
        <v>171</v>
      </c>
      <c r="C133" s="20" t="s">
        <v>339</v>
      </c>
      <c r="D133" s="29">
        <v>20</v>
      </c>
      <c r="E133" s="29">
        <v>69</v>
      </c>
      <c r="F133" s="29">
        <v>82.6</v>
      </c>
      <c r="G133" s="29">
        <v>0.6</v>
      </c>
      <c r="H133" s="29">
        <v>0.3</v>
      </c>
      <c r="I133" s="29">
        <v>15.9</v>
      </c>
      <c r="J133" s="30"/>
      <c r="K133" s="29">
        <v>0.6</v>
      </c>
      <c r="L133" s="29">
        <v>10</v>
      </c>
      <c r="M133" s="29">
        <v>13</v>
      </c>
      <c r="N133" s="29">
        <v>0.4</v>
      </c>
      <c r="O133" s="30"/>
      <c r="P133" s="29">
        <v>960</v>
      </c>
      <c r="Q133" s="29">
        <v>0.1</v>
      </c>
      <c r="R133" s="29">
        <v>0.1</v>
      </c>
      <c r="S133" s="29">
        <v>0.3</v>
      </c>
      <c r="T133" s="31">
        <v>30</v>
      </c>
      <c r="U133" s="20" t="s">
        <v>171</v>
      </c>
    </row>
    <row r="134" spans="1:21" ht="15.6">
      <c r="A134" s="28">
        <v>6002</v>
      </c>
      <c r="B134" s="20" t="s">
        <v>165</v>
      </c>
      <c r="C134" s="20" t="s">
        <v>340</v>
      </c>
      <c r="D134" s="29">
        <v>0</v>
      </c>
      <c r="E134" s="29">
        <v>897</v>
      </c>
      <c r="F134" s="29">
        <v>0.3</v>
      </c>
      <c r="G134" s="29">
        <v>0</v>
      </c>
      <c r="H134" s="29">
        <v>99.7</v>
      </c>
      <c r="I134" s="29">
        <v>0</v>
      </c>
      <c r="J134" s="30"/>
      <c r="K134" s="29">
        <v>0</v>
      </c>
      <c r="L134" s="30"/>
      <c r="M134" s="29" t="s">
        <v>180</v>
      </c>
      <c r="N134" s="30"/>
      <c r="O134" s="49"/>
      <c r="P134" s="29" t="s">
        <v>180</v>
      </c>
      <c r="Q134" s="29" t="s">
        <v>180</v>
      </c>
      <c r="R134" s="30"/>
      <c r="S134" s="30"/>
      <c r="T134" s="33"/>
      <c r="U134" s="20" t="s">
        <v>165</v>
      </c>
    </row>
    <row r="135" spans="1:21" ht="15.6">
      <c r="A135" s="36">
        <v>6002</v>
      </c>
      <c r="B135" s="20" t="s">
        <v>165</v>
      </c>
      <c r="C135" s="32" t="s">
        <v>341</v>
      </c>
      <c r="D135" s="37">
        <v>0</v>
      </c>
      <c r="E135" s="37">
        <v>897</v>
      </c>
      <c r="F135" s="37">
        <v>0.3</v>
      </c>
      <c r="G135" s="37">
        <v>0</v>
      </c>
      <c r="H135" s="37">
        <v>99.7</v>
      </c>
      <c r="I135" s="37">
        <v>0</v>
      </c>
      <c r="J135" s="38"/>
      <c r="K135" s="37">
        <v>0</v>
      </c>
      <c r="L135" s="38"/>
      <c r="M135" s="37" t="s">
        <v>180</v>
      </c>
      <c r="N135" s="38"/>
      <c r="O135" s="50"/>
      <c r="P135" s="37" t="s">
        <v>180</v>
      </c>
      <c r="Q135" s="37" t="s">
        <v>180</v>
      </c>
      <c r="R135" s="38"/>
      <c r="S135" s="38"/>
      <c r="T135" s="51"/>
      <c r="U135" s="20" t="s">
        <v>165</v>
      </c>
    </row>
    <row r="136" spans="1:21" ht="15.6">
      <c r="A136" s="36">
        <v>6002</v>
      </c>
      <c r="B136" s="20" t="s">
        <v>165</v>
      </c>
      <c r="C136" s="21" t="s">
        <v>342</v>
      </c>
      <c r="D136" s="37">
        <v>0</v>
      </c>
      <c r="E136" s="37">
        <v>897</v>
      </c>
      <c r="F136" s="37">
        <v>0.3</v>
      </c>
      <c r="G136" s="37">
        <v>0</v>
      </c>
      <c r="H136" s="37">
        <v>99.7</v>
      </c>
      <c r="I136" s="37">
        <v>0</v>
      </c>
      <c r="J136" s="38"/>
      <c r="K136" s="37">
        <v>0</v>
      </c>
      <c r="L136" s="38"/>
      <c r="M136" s="37" t="s">
        <v>180</v>
      </c>
      <c r="N136" s="38"/>
      <c r="O136" s="50"/>
      <c r="P136" s="37" t="s">
        <v>180</v>
      </c>
      <c r="Q136" s="37" t="s">
        <v>180</v>
      </c>
      <c r="R136" s="38"/>
      <c r="S136" s="38"/>
      <c r="T136" s="51"/>
      <c r="U136" s="20" t="s">
        <v>165</v>
      </c>
    </row>
    <row r="137" spans="1:21" ht="15.6">
      <c r="A137" s="28">
        <v>7001</v>
      </c>
      <c r="B137" s="20" t="s">
        <v>159</v>
      </c>
      <c r="C137" s="20" t="s">
        <v>343</v>
      </c>
      <c r="D137" s="29">
        <v>2</v>
      </c>
      <c r="E137" s="29">
        <v>144</v>
      </c>
      <c r="F137" s="29">
        <v>72.8</v>
      </c>
      <c r="G137" s="29">
        <v>19</v>
      </c>
      <c r="H137" s="29">
        <v>7.5</v>
      </c>
      <c r="I137" s="29">
        <v>0</v>
      </c>
      <c r="J137" s="30"/>
      <c r="K137" s="29">
        <v>0.7</v>
      </c>
      <c r="L137" s="29">
        <v>8</v>
      </c>
      <c r="M137" s="29">
        <v>188</v>
      </c>
      <c r="N137" s="29">
        <v>1.7</v>
      </c>
      <c r="O137" s="29">
        <v>10</v>
      </c>
      <c r="P137" s="30"/>
      <c r="Q137" s="29">
        <v>0.2</v>
      </c>
      <c r="R137" s="29">
        <v>0.3</v>
      </c>
      <c r="S137" s="29">
        <v>6.2</v>
      </c>
      <c r="T137" s="31">
        <v>2</v>
      </c>
      <c r="U137" s="20" t="s">
        <v>159</v>
      </c>
    </row>
    <row r="138" spans="1:21" ht="15.6">
      <c r="A138" s="28">
        <v>7002</v>
      </c>
      <c r="B138" s="20" t="s">
        <v>159</v>
      </c>
      <c r="C138" s="20" t="s">
        <v>344</v>
      </c>
      <c r="D138" s="29">
        <v>2</v>
      </c>
      <c r="E138" s="29">
        <v>85</v>
      </c>
      <c r="F138" s="29">
        <v>78.2</v>
      </c>
      <c r="G138" s="29">
        <v>20</v>
      </c>
      <c r="H138" s="29">
        <v>0.5</v>
      </c>
      <c r="I138" s="29">
        <v>0</v>
      </c>
      <c r="J138" s="30"/>
      <c r="K138" s="29">
        <v>1.3</v>
      </c>
      <c r="L138" s="29">
        <v>8</v>
      </c>
      <c r="M138" s="29">
        <v>176</v>
      </c>
      <c r="N138" s="29">
        <v>1.7</v>
      </c>
      <c r="O138" s="29">
        <v>30</v>
      </c>
      <c r="P138" s="30"/>
      <c r="Q138" s="29">
        <v>0.2</v>
      </c>
      <c r="R138" s="29">
        <v>0.3</v>
      </c>
      <c r="S138" s="29">
        <v>6.2</v>
      </c>
      <c r="T138" s="31">
        <v>2</v>
      </c>
      <c r="U138" s="20" t="s">
        <v>159</v>
      </c>
    </row>
    <row r="139" spans="1:21" ht="15.6">
      <c r="A139" s="28">
        <v>7003</v>
      </c>
      <c r="B139" s="20" t="s">
        <v>159</v>
      </c>
      <c r="C139" s="32" t="s">
        <v>345</v>
      </c>
      <c r="D139" s="29">
        <v>2</v>
      </c>
      <c r="E139" s="29">
        <v>118</v>
      </c>
      <c r="F139" s="29">
        <v>74.099999999999994</v>
      </c>
      <c r="G139" s="29">
        <v>21</v>
      </c>
      <c r="H139" s="29">
        <v>3.8</v>
      </c>
      <c r="I139" s="29">
        <v>0</v>
      </c>
      <c r="J139" s="30"/>
      <c r="K139" s="29">
        <v>1.1000000000000001</v>
      </c>
      <c r="L139" s="29">
        <v>12</v>
      </c>
      <c r="M139" s="29">
        <v>226</v>
      </c>
      <c r="N139" s="29">
        <v>3.1</v>
      </c>
      <c r="O139" s="29">
        <v>12</v>
      </c>
      <c r="P139" s="30"/>
      <c r="Q139" s="29">
        <v>0.1</v>
      </c>
      <c r="R139" s="29">
        <v>0.2</v>
      </c>
      <c r="S139" s="29">
        <v>4.2</v>
      </c>
      <c r="T139" s="31">
        <v>1</v>
      </c>
      <c r="U139" s="20" t="s">
        <v>159</v>
      </c>
    </row>
    <row r="140" spans="1:21" ht="15.6">
      <c r="A140" s="28">
        <v>7004</v>
      </c>
      <c r="B140" s="20" t="s">
        <v>159</v>
      </c>
      <c r="C140" s="32" t="s">
        <v>346</v>
      </c>
      <c r="D140" s="29">
        <v>2</v>
      </c>
      <c r="E140" s="29">
        <v>167</v>
      </c>
      <c r="F140" s="29">
        <v>70.5</v>
      </c>
      <c r="G140" s="29">
        <v>18</v>
      </c>
      <c r="H140" s="29">
        <v>10.5</v>
      </c>
      <c r="I140" s="29">
        <v>0</v>
      </c>
      <c r="J140" s="30"/>
      <c r="K140" s="29">
        <v>1</v>
      </c>
      <c r="L140" s="29">
        <v>10</v>
      </c>
      <c r="M140" s="29">
        <v>194</v>
      </c>
      <c r="N140" s="29">
        <v>2.7</v>
      </c>
      <c r="O140" s="29">
        <v>2</v>
      </c>
      <c r="P140" s="30"/>
      <c r="Q140" s="29">
        <v>0.1</v>
      </c>
      <c r="R140" s="29">
        <v>0.2</v>
      </c>
      <c r="S140" s="29">
        <v>4.2</v>
      </c>
      <c r="T140" s="31">
        <v>1</v>
      </c>
      <c r="U140" s="20" t="s">
        <v>159</v>
      </c>
    </row>
    <row r="141" spans="1:21" ht="15.6">
      <c r="A141" s="36">
        <v>7004</v>
      </c>
      <c r="B141" s="20" t="s">
        <v>159</v>
      </c>
      <c r="C141" s="32" t="s">
        <v>347</v>
      </c>
      <c r="D141" s="37">
        <v>2</v>
      </c>
      <c r="E141" s="37">
        <v>167</v>
      </c>
      <c r="F141" s="37">
        <v>70.5</v>
      </c>
      <c r="G141" s="37">
        <v>18</v>
      </c>
      <c r="H141" s="37">
        <v>10.5</v>
      </c>
      <c r="I141" s="37">
        <v>0</v>
      </c>
      <c r="J141" s="38"/>
      <c r="K141" s="37">
        <v>1</v>
      </c>
      <c r="L141" s="37">
        <v>10</v>
      </c>
      <c r="M141" s="37">
        <v>194</v>
      </c>
      <c r="N141" s="37">
        <v>2.7</v>
      </c>
      <c r="O141" s="37">
        <v>2</v>
      </c>
      <c r="P141" s="38"/>
      <c r="Q141" s="37">
        <v>0.1</v>
      </c>
      <c r="R141" s="37">
        <v>0.2</v>
      </c>
      <c r="S141" s="37">
        <v>4.2</v>
      </c>
      <c r="T141" s="39">
        <v>1</v>
      </c>
      <c r="U141" s="20" t="s">
        <v>159</v>
      </c>
    </row>
    <row r="142" spans="1:21" ht="15.6">
      <c r="A142" s="28">
        <v>7006</v>
      </c>
      <c r="B142" s="20">
        <v>7</v>
      </c>
      <c r="C142" s="20" t="s">
        <v>348</v>
      </c>
      <c r="D142" s="29">
        <v>2</v>
      </c>
      <c r="E142" s="29">
        <v>338</v>
      </c>
      <c r="F142" s="29">
        <v>53</v>
      </c>
      <c r="G142" s="29">
        <v>16</v>
      </c>
      <c r="H142" s="29">
        <v>30.4</v>
      </c>
      <c r="I142" s="29">
        <v>0</v>
      </c>
      <c r="J142" s="30"/>
      <c r="K142" s="29">
        <v>0.6</v>
      </c>
      <c r="L142" s="29">
        <v>16</v>
      </c>
      <c r="M142" s="29">
        <v>43</v>
      </c>
      <c r="N142" s="29">
        <v>1</v>
      </c>
      <c r="O142" s="30"/>
      <c r="P142" s="30"/>
      <c r="Q142" s="29">
        <v>0</v>
      </c>
      <c r="R142" s="29">
        <v>0.1</v>
      </c>
      <c r="S142" s="29">
        <v>1.8</v>
      </c>
      <c r="T142" s="33"/>
      <c r="U142" s="20">
        <v>7</v>
      </c>
    </row>
    <row r="143" spans="1:21" ht="15.6">
      <c r="A143" s="28">
        <v>7007</v>
      </c>
      <c r="B143" s="20">
        <v>7</v>
      </c>
      <c r="C143" s="20" t="s">
        <v>349</v>
      </c>
      <c r="D143" s="29">
        <v>2</v>
      </c>
      <c r="E143" s="29">
        <v>230</v>
      </c>
      <c r="F143" s="29">
        <v>63.8</v>
      </c>
      <c r="G143" s="29">
        <v>18</v>
      </c>
      <c r="H143" s="29">
        <v>17.600000000000001</v>
      </c>
      <c r="I143" s="29">
        <v>0</v>
      </c>
      <c r="J143" s="30"/>
      <c r="K143" s="29">
        <v>0.6</v>
      </c>
      <c r="L143" s="29">
        <v>20</v>
      </c>
      <c r="M143" s="29">
        <v>36</v>
      </c>
      <c r="N143" s="29">
        <v>0.7</v>
      </c>
      <c r="O143" s="30"/>
      <c r="P143" s="30"/>
      <c r="Q143" s="29">
        <v>0</v>
      </c>
      <c r="R143" s="29">
        <v>0.1</v>
      </c>
      <c r="S143" s="29">
        <v>1.8</v>
      </c>
      <c r="T143" s="31">
        <v>0</v>
      </c>
      <c r="U143" s="20">
        <v>7</v>
      </c>
    </row>
    <row r="144" spans="1:21" ht="15.6">
      <c r="A144" s="28">
        <v>7011</v>
      </c>
      <c r="B144" s="20" t="s">
        <v>161</v>
      </c>
      <c r="C144" s="20" t="s">
        <v>350</v>
      </c>
      <c r="D144" s="29">
        <v>52</v>
      </c>
      <c r="E144" s="29">
        <v>199</v>
      </c>
      <c r="F144" s="29">
        <v>65.599999999999994</v>
      </c>
      <c r="G144" s="29">
        <v>20.3</v>
      </c>
      <c r="H144" s="29">
        <v>13.1</v>
      </c>
      <c r="I144" s="29">
        <v>0</v>
      </c>
      <c r="J144" s="30"/>
      <c r="K144" s="29">
        <v>1</v>
      </c>
      <c r="L144" s="29">
        <v>12</v>
      </c>
      <c r="M144" s="29">
        <v>200</v>
      </c>
      <c r="N144" s="29">
        <v>1.5</v>
      </c>
      <c r="O144" s="29">
        <v>120</v>
      </c>
      <c r="P144" s="30"/>
      <c r="Q144" s="29">
        <v>0.2</v>
      </c>
      <c r="R144" s="29">
        <v>0.2</v>
      </c>
      <c r="S144" s="29">
        <v>8.1</v>
      </c>
      <c r="T144" s="31">
        <v>4</v>
      </c>
      <c r="U144" s="20" t="s">
        <v>161</v>
      </c>
    </row>
    <row r="145" spans="1:21" ht="15.6">
      <c r="A145" s="28">
        <v>7011</v>
      </c>
      <c r="B145" s="20" t="s">
        <v>161</v>
      </c>
      <c r="C145" s="20" t="s">
        <v>351</v>
      </c>
      <c r="D145" s="29">
        <v>52</v>
      </c>
      <c r="E145" s="29">
        <v>195</v>
      </c>
      <c r="F145" s="29">
        <v>65.599999999999994</v>
      </c>
      <c r="G145" s="29">
        <v>20.3</v>
      </c>
      <c r="H145" s="29">
        <v>13.1</v>
      </c>
      <c r="I145" s="29">
        <v>0</v>
      </c>
      <c r="J145" s="30"/>
      <c r="K145" s="29">
        <v>1</v>
      </c>
      <c r="L145" s="29">
        <v>12</v>
      </c>
      <c r="M145" s="29">
        <v>200</v>
      </c>
      <c r="N145" s="29">
        <v>1.5</v>
      </c>
      <c r="O145" s="29">
        <v>120</v>
      </c>
      <c r="P145" s="30"/>
      <c r="Q145" s="29">
        <v>0.2</v>
      </c>
      <c r="R145" s="29">
        <v>0.2</v>
      </c>
      <c r="S145" s="29">
        <v>8.1</v>
      </c>
      <c r="T145" s="31">
        <v>4</v>
      </c>
      <c r="U145" s="20" t="s">
        <v>161</v>
      </c>
    </row>
    <row r="146" spans="1:21" ht="15.6">
      <c r="A146" s="28">
        <v>7011</v>
      </c>
      <c r="B146" s="20" t="s">
        <v>161</v>
      </c>
      <c r="C146" s="20" t="s">
        <v>352</v>
      </c>
      <c r="D146" s="29">
        <v>52</v>
      </c>
      <c r="E146" s="29">
        <v>199</v>
      </c>
      <c r="F146" s="29">
        <v>65.599999999999994</v>
      </c>
      <c r="G146" s="29">
        <v>20.3</v>
      </c>
      <c r="H146" s="29">
        <v>13.1</v>
      </c>
      <c r="I146" s="29">
        <v>0</v>
      </c>
      <c r="J146" s="30"/>
      <c r="K146" s="29">
        <v>1</v>
      </c>
      <c r="L146" s="29">
        <v>12</v>
      </c>
      <c r="M146" s="29">
        <v>200</v>
      </c>
      <c r="N146" s="29">
        <v>1.5</v>
      </c>
      <c r="O146" s="29">
        <v>120</v>
      </c>
      <c r="P146" s="30"/>
      <c r="Q146" s="29">
        <v>0.2</v>
      </c>
      <c r="R146" s="29">
        <v>0.2</v>
      </c>
      <c r="S146" s="29">
        <v>8.1</v>
      </c>
      <c r="T146" s="31">
        <v>4</v>
      </c>
      <c r="U146" s="20" t="s">
        <v>161</v>
      </c>
    </row>
    <row r="147" spans="1:21" ht="15.6">
      <c r="A147" s="28">
        <v>7014</v>
      </c>
      <c r="B147" s="20" t="s">
        <v>158</v>
      </c>
      <c r="C147" s="20" t="s">
        <v>353</v>
      </c>
      <c r="D147" s="29">
        <v>2</v>
      </c>
      <c r="E147" s="29">
        <v>394</v>
      </c>
      <c r="F147" s="29">
        <v>47.5</v>
      </c>
      <c r="G147" s="29">
        <v>14.5</v>
      </c>
      <c r="H147" s="29">
        <v>37.299999999999997</v>
      </c>
      <c r="I147" s="29">
        <v>0</v>
      </c>
      <c r="J147" s="30"/>
      <c r="K147" s="29">
        <v>0.7</v>
      </c>
      <c r="L147" s="29">
        <v>8</v>
      </c>
      <c r="M147" s="29">
        <v>156</v>
      </c>
      <c r="N147" s="29">
        <v>0.4</v>
      </c>
      <c r="O147" s="29">
        <v>0</v>
      </c>
      <c r="P147" s="30"/>
      <c r="Q147" s="29">
        <v>0</v>
      </c>
      <c r="R147" s="29">
        <v>0</v>
      </c>
      <c r="S147" s="29">
        <v>0</v>
      </c>
      <c r="T147" s="31">
        <v>0</v>
      </c>
      <c r="U147" s="20" t="s">
        <v>158</v>
      </c>
    </row>
    <row r="148" spans="1:21" ht="15.6">
      <c r="A148" s="28">
        <v>7015</v>
      </c>
      <c r="B148" s="20" t="s">
        <v>158</v>
      </c>
      <c r="C148" s="20" t="s">
        <v>354</v>
      </c>
      <c r="D148" s="29">
        <v>2</v>
      </c>
      <c r="E148" s="29">
        <v>139</v>
      </c>
      <c r="F148" s="29">
        <v>73</v>
      </c>
      <c r="G148" s="29">
        <v>19</v>
      </c>
      <c r="H148" s="29">
        <v>7</v>
      </c>
      <c r="I148" s="29">
        <v>0</v>
      </c>
      <c r="J148" s="30"/>
      <c r="K148" s="29">
        <v>1</v>
      </c>
      <c r="L148" s="29">
        <v>6.7</v>
      </c>
      <c r="M148" s="29">
        <v>190</v>
      </c>
      <c r="N148" s="29">
        <v>1</v>
      </c>
      <c r="O148" s="30"/>
      <c r="P148" s="30"/>
      <c r="Q148" s="29">
        <v>0.9</v>
      </c>
      <c r="R148" s="29">
        <v>0.2</v>
      </c>
      <c r="S148" s="29">
        <v>4.4000000000000004</v>
      </c>
      <c r="T148" s="33"/>
      <c r="U148" s="20" t="s">
        <v>158</v>
      </c>
    </row>
    <row r="149" spans="1:21" ht="15.6">
      <c r="A149" s="36">
        <v>7015</v>
      </c>
      <c r="B149" s="20" t="s">
        <v>158</v>
      </c>
      <c r="C149" s="21" t="s">
        <v>355</v>
      </c>
      <c r="D149" s="37">
        <f>(D147+D148)/2</f>
        <v>2</v>
      </c>
      <c r="E149" s="37">
        <f t="shared" ref="E149:T149" si="2">(E147+E148)/2</f>
        <v>266.5</v>
      </c>
      <c r="F149" s="37">
        <f t="shared" si="2"/>
        <v>60.25</v>
      </c>
      <c r="G149" s="37">
        <f t="shared" si="2"/>
        <v>16.75</v>
      </c>
      <c r="H149" s="37">
        <f t="shared" si="2"/>
        <v>22.15</v>
      </c>
      <c r="I149" s="37">
        <f t="shared" si="2"/>
        <v>0</v>
      </c>
      <c r="J149" s="37">
        <f t="shared" si="2"/>
        <v>0</v>
      </c>
      <c r="K149" s="37">
        <f t="shared" si="2"/>
        <v>0.85</v>
      </c>
      <c r="L149" s="37">
        <f t="shared" si="2"/>
        <v>7.35</v>
      </c>
      <c r="M149" s="37">
        <f t="shared" si="2"/>
        <v>173</v>
      </c>
      <c r="N149" s="37">
        <f t="shared" si="2"/>
        <v>0.7</v>
      </c>
      <c r="O149" s="37">
        <f t="shared" si="2"/>
        <v>0</v>
      </c>
      <c r="P149" s="37">
        <f t="shared" si="2"/>
        <v>0</v>
      </c>
      <c r="Q149" s="37">
        <f t="shared" si="2"/>
        <v>0.45</v>
      </c>
      <c r="R149" s="37">
        <f t="shared" si="2"/>
        <v>0.1</v>
      </c>
      <c r="S149" s="37">
        <f t="shared" si="2"/>
        <v>2.2000000000000002</v>
      </c>
      <c r="T149" s="37">
        <f t="shared" si="2"/>
        <v>0</v>
      </c>
      <c r="U149" s="20" t="s">
        <v>158</v>
      </c>
    </row>
    <row r="150" spans="1:21" ht="15.6">
      <c r="A150" s="28">
        <v>7015</v>
      </c>
      <c r="B150" s="20" t="s">
        <v>158</v>
      </c>
      <c r="C150" s="20" t="s">
        <v>356</v>
      </c>
      <c r="D150" s="29">
        <v>2</v>
      </c>
      <c r="E150" s="29">
        <v>139</v>
      </c>
      <c r="F150" s="29">
        <v>73</v>
      </c>
      <c r="G150" s="29">
        <v>19</v>
      </c>
      <c r="H150" s="29">
        <v>7</v>
      </c>
      <c r="I150" s="29">
        <v>0</v>
      </c>
      <c r="J150" s="30"/>
      <c r="K150" s="29">
        <v>1</v>
      </c>
      <c r="L150" s="29">
        <v>6.7</v>
      </c>
      <c r="M150" s="29">
        <v>190</v>
      </c>
      <c r="N150" s="29">
        <v>1</v>
      </c>
      <c r="O150" s="30"/>
      <c r="P150" s="30"/>
      <c r="Q150" s="29">
        <v>0.9</v>
      </c>
      <c r="R150" s="29">
        <v>0.2</v>
      </c>
      <c r="S150" s="29">
        <v>4.4000000000000004</v>
      </c>
      <c r="T150" s="33"/>
      <c r="U150" s="20" t="s">
        <v>158</v>
      </c>
    </row>
    <row r="151" spans="1:21" ht="15.6">
      <c r="A151" s="28">
        <v>7016</v>
      </c>
      <c r="B151" s="20" t="s">
        <v>157</v>
      </c>
      <c r="C151" s="20" t="s">
        <v>357</v>
      </c>
      <c r="D151" s="29">
        <v>2</v>
      </c>
      <c r="E151" s="29">
        <v>260</v>
      </c>
      <c r="F151" s="29">
        <v>60.9</v>
      </c>
      <c r="G151" s="29">
        <v>16.5</v>
      </c>
      <c r="H151" s="29">
        <v>21.5</v>
      </c>
      <c r="I151" s="29">
        <v>0</v>
      </c>
      <c r="J151" s="30"/>
      <c r="K151" s="29">
        <v>1.1000000000000001</v>
      </c>
      <c r="L151" s="29">
        <v>9</v>
      </c>
      <c r="M151" s="29">
        <v>178</v>
      </c>
      <c r="N151" s="29">
        <v>1.5</v>
      </c>
      <c r="O151" s="29">
        <v>10</v>
      </c>
      <c r="P151" s="30"/>
      <c r="Q151" s="29">
        <v>0.5</v>
      </c>
      <c r="R151" s="29">
        <v>0.2</v>
      </c>
      <c r="S151" s="29">
        <v>2.7</v>
      </c>
      <c r="T151" s="31">
        <v>2</v>
      </c>
      <c r="U151" s="20" t="s">
        <v>157</v>
      </c>
    </row>
    <row r="152" spans="1:21" ht="15.6">
      <c r="A152" s="36">
        <v>7016</v>
      </c>
      <c r="B152" s="20" t="s">
        <v>157</v>
      </c>
      <c r="C152" s="21" t="s">
        <v>358</v>
      </c>
      <c r="D152" s="37">
        <f>(D150+D151)/2</f>
        <v>2</v>
      </c>
      <c r="E152" s="37">
        <f>(E150+E151)/2</f>
        <v>199.5</v>
      </c>
      <c r="F152" s="37">
        <f t="shared" ref="F152:T152" si="3">(F150+F151)/2</f>
        <v>66.95</v>
      </c>
      <c r="G152" s="37">
        <f t="shared" si="3"/>
        <v>17.75</v>
      </c>
      <c r="H152" s="37">
        <f t="shared" si="3"/>
        <v>14.25</v>
      </c>
      <c r="I152" s="37">
        <f t="shared" si="3"/>
        <v>0</v>
      </c>
      <c r="J152" s="37">
        <f t="shared" si="3"/>
        <v>0</v>
      </c>
      <c r="K152" s="37">
        <f t="shared" si="3"/>
        <v>1.05</v>
      </c>
      <c r="L152" s="37">
        <f t="shared" si="3"/>
        <v>7.85</v>
      </c>
      <c r="M152" s="37">
        <f t="shared" si="3"/>
        <v>184</v>
      </c>
      <c r="N152" s="37">
        <f t="shared" si="3"/>
        <v>1.25</v>
      </c>
      <c r="O152" s="37">
        <f t="shared" si="3"/>
        <v>5</v>
      </c>
      <c r="P152" s="37">
        <f t="shared" si="3"/>
        <v>0</v>
      </c>
      <c r="Q152" s="37">
        <f t="shared" si="3"/>
        <v>0.7</v>
      </c>
      <c r="R152" s="37">
        <f t="shared" si="3"/>
        <v>0.2</v>
      </c>
      <c r="S152" s="37">
        <f t="shared" si="3"/>
        <v>3.5500000000000003</v>
      </c>
      <c r="T152" s="37">
        <f t="shared" si="3"/>
        <v>1</v>
      </c>
      <c r="U152" s="20" t="s">
        <v>157</v>
      </c>
    </row>
    <row r="153" spans="1:21" ht="15.6">
      <c r="A153" s="28">
        <v>7021</v>
      </c>
      <c r="B153" s="20" t="s">
        <v>159</v>
      </c>
      <c r="C153" s="20" t="s">
        <v>359</v>
      </c>
      <c r="D153" s="29">
        <v>2</v>
      </c>
      <c r="E153" s="29">
        <v>115</v>
      </c>
      <c r="F153" s="29">
        <v>74.2</v>
      </c>
      <c r="G153" s="29">
        <v>21.9</v>
      </c>
      <c r="H153" s="29">
        <v>3</v>
      </c>
      <c r="I153" s="29">
        <v>0</v>
      </c>
      <c r="J153" s="30"/>
      <c r="K153" s="29">
        <v>0.9</v>
      </c>
      <c r="L153" s="29">
        <v>30</v>
      </c>
      <c r="M153" s="29">
        <v>150</v>
      </c>
      <c r="N153" s="30"/>
      <c r="O153" s="29" t="s">
        <v>180</v>
      </c>
      <c r="P153" s="30"/>
      <c r="Q153" s="30"/>
      <c r="R153" s="30"/>
      <c r="S153" s="30"/>
      <c r="T153" s="33"/>
      <c r="U153" s="20" t="s">
        <v>159</v>
      </c>
    </row>
    <row r="154" spans="1:21" ht="15.6">
      <c r="A154" s="28">
        <v>7022</v>
      </c>
      <c r="B154" s="20" t="s">
        <v>159</v>
      </c>
      <c r="C154" s="20" t="s">
        <v>360</v>
      </c>
      <c r="D154" s="29">
        <v>2</v>
      </c>
      <c r="E154" s="29">
        <v>112</v>
      </c>
      <c r="F154" s="29">
        <v>74.900000000000006</v>
      </c>
      <c r="G154" s="29">
        <v>20.9</v>
      </c>
      <c r="H154" s="29">
        <v>3.1</v>
      </c>
      <c r="I154" s="29">
        <v>0</v>
      </c>
      <c r="J154" s="30"/>
      <c r="K154" s="29">
        <v>1.1000000000000001</v>
      </c>
      <c r="L154" s="29">
        <v>20</v>
      </c>
      <c r="M154" s="29">
        <v>160</v>
      </c>
      <c r="N154" s="30"/>
      <c r="O154" s="29" t="s">
        <v>180</v>
      </c>
      <c r="P154" s="30"/>
      <c r="Q154" s="30"/>
      <c r="R154" s="30"/>
      <c r="S154" s="30"/>
      <c r="T154" s="33"/>
      <c r="U154" s="20" t="s">
        <v>159</v>
      </c>
    </row>
    <row r="155" spans="1:21" ht="15.6">
      <c r="A155" s="28">
        <v>7023</v>
      </c>
      <c r="B155" s="20" t="s">
        <v>159</v>
      </c>
      <c r="C155" s="20" t="s">
        <v>361</v>
      </c>
      <c r="D155" s="29">
        <v>2</v>
      </c>
      <c r="E155" s="29">
        <v>112</v>
      </c>
      <c r="F155" s="29">
        <v>74.900000000000006</v>
      </c>
      <c r="G155" s="29">
        <v>21.2</v>
      </c>
      <c r="H155" s="29">
        <v>3</v>
      </c>
      <c r="I155" s="29">
        <v>0</v>
      </c>
      <c r="J155" s="30"/>
      <c r="K155" s="29">
        <v>0.9</v>
      </c>
      <c r="L155" s="29">
        <v>20</v>
      </c>
      <c r="M155" s="29">
        <v>215</v>
      </c>
      <c r="N155" s="30"/>
      <c r="O155" s="29" t="s">
        <v>180</v>
      </c>
      <c r="P155" s="30"/>
      <c r="Q155" s="30"/>
      <c r="R155" s="29" t="s">
        <v>180</v>
      </c>
      <c r="S155" s="30"/>
      <c r="T155" s="33"/>
      <c r="U155" s="20" t="s">
        <v>159</v>
      </c>
    </row>
    <row r="156" spans="1:21" ht="15.6">
      <c r="A156" s="28">
        <v>7024</v>
      </c>
      <c r="B156" s="20" t="s">
        <v>159</v>
      </c>
      <c r="C156" s="20" t="s">
        <v>362</v>
      </c>
      <c r="D156" s="29">
        <v>2</v>
      </c>
      <c r="E156" s="29">
        <v>121</v>
      </c>
      <c r="F156" s="29">
        <v>73</v>
      </c>
      <c r="G156" s="29">
        <v>22.8</v>
      </c>
      <c r="H156" s="29">
        <v>3.3</v>
      </c>
      <c r="I156" s="29">
        <v>0</v>
      </c>
      <c r="J156" s="30"/>
      <c r="K156" s="29">
        <v>0.9</v>
      </c>
      <c r="L156" s="29">
        <v>26</v>
      </c>
      <c r="M156" s="29">
        <v>165</v>
      </c>
      <c r="N156" s="29">
        <v>3.3</v>
      </c>
      <c r="O156" s="29">
        <v>5.2</v>
      </c>
      <c r="P156" s="30"/>
      <c r="Q156" s="29">
        <v>0.1</v>
      </c>
      <c r="R156" s="29">
        <v>0.2</v>
      </c>
      <c r="S156" s="29">
        <v>3.5</v>
      </c>
      <c r="T156" s="33"/>
      <c r="U156" s="20" t="s">
        <v>159</v>
      </c>
    </row>
    <row r="157" spans="1:21" ht="15.6">
      <c r="A157" s="28">
        <v>7025</v>
      </c>
      <c r="B157" s="20" t="s">
        <v>161</v>
      </c>
      <c r="C157" s="20" t="s">
        <v>363</v>
      </c>
      <c r="D157" s="29">
        <v>55</v>
      </c>
      <c r="E157" s="29">
        <v>267</v>
      </c>
      <c r="F157" s="29">
        <v>59.5</v>
      </c>
      <c r="G157" s="29">
        <v>17.8</v>
      </c>
      <c r="H157" s="29">
        <v>21.8</v>
      </c>
      <c r="I157" s="29">
        <v>0</v>
      </c>
      <c r="J157" s="30"/>
      <c r="K157" s="29">
        <v>0.9</v>
      </c>
      <c r="L157" s="29">
        <v>13</v>
      </c>
      <c r="M157" s="29">
        <v>145</v>
      </c>
      <c r="N157" s="29">
        <v>1.8</v>
      </c>
      <c r="O157" s="29">
        <v>270</v>
      </c>
      <c r="P157" s="30"/>
      <c r="Q157" s="29">
        <v>0.1</v>
      </c>
      <c r="R157" s="29">
        <v>0.2</v>
      </c>
      <c r="S157" s="29">
        <v>4.7</v>
      </c>
      <c r="T157" s="33"/>
      <c r="U157" s="20" t="s">
        <v>161</v>
      </c>
    </row>
    <row r="158" spans="1:21" ht="15.6">
      <c r="A158" s="28">
        <v>7029</v>
      </c>
      <c r="B158" s="20" t="s">
        <v>157</v>
      </c>
      <c r="C158" s="20" t="s">
        <v>364</v>
      </c>
      <c r="D158" s="29">
        <v>0</v>
      </c>
      <c r="E158" s="29">
        <v>230</v>
      </c>
      <c r="F158" s="29">
        <v>64.7</v>
      </c>
      <c r="G158" s="29">
        <v>15.7</v>
      </c>
      <c r="H158" s="29">
        <v>18.600000000000001</v>
      </c>
      <c r="I158" s="29">
        <v>0</v>
      </c>
      <c r="J158" s="30"/>
      <c r="K158" s="29">
        <v>1</v>
      </c>
      <c r="L158" s="29">
        <v>24</v>
      </c>
      <c r="M158" s="29">
        <v>106</v>
      </c>
      <c r="N158" s="29">
        <v>2.1</v>
      </c>
      <c r="O158" s="29">
        <v>30</v>
      </c>
      <c r="P158" s="30"/>
      <c r="Q158" s="29">
        <v>0</v>
      </c>
      <c r="R158" s="29">
        <v>0.1</v>
      </c>
      <c r="S158" s="29">
        <v>1.6</v>
      </c>
      <c r="T158" s="33"/>
      <c r="U158" s="20" t="s">
        <v>157</v>
      </c>
    </row>
    <row r="159" spans="1:21" ht="15.6">
      <c r="A159" s="28">
        <v>7033</v>
      </c>
      <c r="B159" s="20" t="s">
        <v>157</v>
      </c>
      <c r="C159" s="20" t="s">
        <v>365</v>
      </c>
      <c r="D159" s="29">
        <v>34</v>
      </c>
      <c r="E159" s="29">
        <v>282.5</v>
      </c>
      <c r="F159" s="29">
        <v>59.650000000000006</v>
      </c>
      <c r="G159" s="29">
        <v>14.55</v>
      </c>
      <c r="H159" s="29">
        <v>24.950000000000003</v>
      </c>
      <c r="I159" s="29">
        <v>0</v>
      </c>
      <c r="J159" s="30">
        <v>0</v>
      </c>
      <c r="K159" s="29">
        <v>0.85</v>
      </c>
      <c r="L159" s="29">
        <v>12</v>
      </c>
      <c r="M159" s="29"/>
      <c r="N159" s="29">
        <v>1.05</v>
      </c>
      <c r="O159" s="29"/>
      <c r="P159" s="30">
        <v>0</v>
      </c>
      <c r="Q159" s="29">
        <v>0</v>
      </c>
      <c r="R159" s="29">
        <v>0.05</v>
      </c>
      <c r="S159" s="29">
        <v>0.8</v>
      </c>
      <c r="T159" s="52">
        <v>0</v>
      </c>
      <c r="U159" s="20" t="s">
        <v>157</v>
      </c>
    </row>
    <row r="160" spans="1:21" ht="15.6">
      <c r="A160" s="28">
        <v>7044</v>
      </c>
      <c r="B160" s="20" t="s">
        <v>157</v>
      </c>
      <c r="C160" s="32" t="s">
        <v>366</v>
      </c>
      <c r="D160" s="32">
        <v>2.8</v>
      </c>
      <c r="E160" s="32">
        <v>100.8</v>
      </c>
      <c r="F160" s="32">
        <v>80.7</v>
      </c>
      <c r="G160" s="32">
        <v>12.460000000000003</v>
      </c>
      <c r="H160" s="32">
        <v>5.3</v>
      </c>
      <c r="I160" s="32">
        <v>0.72</v>
      </c>
      <c r="J160" s="32">
        <v>0</v>
      </c>
      <c r="K160" s="32">
        <v>0.82</v>
      </c>
      <c r="L160" s="32">
        <v>8.6</v>
      </c>
      <c r="M160" s="32">
        <v>166</v>
      </c>
      <c r="N160" s="32">
        <v>4.2200000000000006</v>
      </c>
      <c r="O160" s="32">
        <v>0</v>
      </c>
      <c r="P160" s="32">
        <v>0</v>
      </c>
      <c r="Q160" s="32">
        <v>0.14000000000000001</v>
      </c>
      <c r="R160" s="32">
        <v>0.52000000000000013</v>
      </c>
      <c r="S160" s="32">
        <v>4.5</v>
      </c>
      <c r="T160" s="32">
        <v>3.6</v>
      </c>
      <c r="U160" s="20" t="s">
        <v>157</v>
      </c>
    </row>
    <row r="161" spans="1:21" ht="15.6">
      <c r="A161" s="28">
        <v>7044</v>
      </c>
      <c r="B161" s="20" t="s">
        <v>160</v>
      </c>
      <c r="C161" s="32" t="s">
        <v>367</v>
      </c>
      <c r="D161" s="32">
        <v>2</v>
      </c>
      <c r="E161" s="32">
        <v>108</v>
      </c>
      <c r="F161" s="32">
        <v>76.033333333333331</v>
      </c>
      <c r="G161" s="32">
        <v>18.5</v>
      </c>
      <c r="H161" s="32">
        <v>3.4</v>
      </c>
      <c r="I161" s="32">
        <v>0.8666666666666667</v>
      </c>
      <c r="J161" s="32"/>
      <c r="K161" s="32">
        <v>1.2</v>
      </c>
      <c r="L161" s="32">
        <v>30</v>
      </c>
      <c r="M161" s="32">
        <v>198.33333333333334</v>
      </c>
      <c r="N161" s="32">
        <v>6.6999999999999993</v>
      </c>
      <c r="O161" s="32">
        <v>0</v>
      </c>
      <c r="P161" s="32">
        <v>0</v>
      </c>
      <c r="Q161" s="32">
        <v>0.13333333333333333</v>
      </c>
      <c r="R161" s="32">
        <v>0.6</v>
      </c>
      <c r="S161" s="32">
        <v>5.0666666666666664</v>
      </c>
      <c r="T161" s="32">
        <v>2.3333333333333335</v>
      </c>
      <c r="U161" s="20" t="s">
        <v>160</v>
      </c>
    </row>
    <row r="162" spans="1:21" ht="14.25" customHeight="1">
      <c r="A162" s="28">
        <v>7050</v>
      </c>
      <c r="B162" s="20" t="s">
        <v>157</v>
      </c>
      <c r="C162" s="42" t="s">
        <v>368</v>
      </c>
      <c r="D162" s="29">
        <v>0</v>
      </c>
      <c r="E162" s="29">
        <v>187</v>
      </c>
      <c r="F162" s="29">
        <v>68.2</v>
      </c>
      <c r="G162" s="29">
        <v>17.899999999999999</v>
      </c>
      <c r="H162" s="29">
        <v>12.8</v>
      </c>
      <c r="I162" s="29">
        <v>0</v>
      </c>
      <c r="J162" s="30"/>
      <c r="K162" s="29">
        <v>1.1000000000000001</v>
      </c>
      <c r="L162" s="29">
        <v>7.4</v>
      </c>
      <c r="M162" s="29">
        <v>160</v>
      </c>
      <c r="N162" s="29">
        <v>0.6</v>
      </c>
      <c r="O162" s="30"/>
      <c r="P162" s="30"/>
      <c r="Q162" s="29">
        <v>1</v>
      </c>
      <c r="R162" s="29">
        <v>0.2</v>
      </c>
      <c r="S162" s="29">
        <v>5.2</v>
      </c>
      <c r="T162" s="33"/>
      <c r="U162" s="20" t="s">
        <v>157</v>
      </c>
    </row>
    <row r="163" spans="1:21" ht="15.6">
      <c r="A163" s="28">
        <v>7062</v>
      </c>
      <c r="B163" s="20" t="s">
        <v>158</v>
      </c>
      <c r="C163" s="20" t="s">
        <v>369</v>
      </c>
      <c r="D163" s="29">
        <v>0</v>
      </c>
      <c r="E163" s="29">
        <v>416</v>
      </c>
      <c r="F163" s="29">
        <v>42.5</v>
      </c>
      <c r="G163" s="29">
        <v>16.2</v>
      </c>
      <c r="H163" s="29">
        <v>39</v>
      </c>
      <c r="I163" s="29">
        <v>0</v>
      </c>
      <c r="J163" s="30"/>
      <c r="K163" s="29">
        <v>2.2999999999999998</v>
      </c>
      <c r="L163" s="29">
        <v>16.399999999999999</v>
      </c>
      <c r="M163" s="29">
        <v>44.8</v>
      </c>
      <c r="N163" s="29">
        <v>2.1</v>
      </c>
      <c r="O163" s="30"/>
      <c r="P163" s="30"/>
      <c r="Q163" s="30"/>
      <c r="R163" s="29" t="s">
        <v>180</v>
      </c>
      <c r="S163" s="30"/>
      <c r="T163" s="31">
        <v>0</v>
      </c>
      <c r="U163" s="20" t="s">
        <v>158</v>
      </c>
    </row>
    <row r="164" spans="1:21" ht="15.6">
      <c r="A164" s="28">
        <v>7065</v>
      </c>
      <c r="B164" s="20" t="s">
        <v>159</v>
      </c>
      <c r="C164" s="20" t="s">
        <v>370</v>
      </c>
      <c r="D164" s="29">
        <v>5</v>
      </c>
      <c r="E164" s="29">
        <v>357</v>
      </c>
      <c r="F164" s="29">
        <v>48.8</v>
      </c>
      <c r="G164" s="29">
        <v>13.8</v>
      </c>
      <c r="H164" s="29">
        <v>33.5</v>
      </c>
      <c r="I164" s="29">
        <v>0</v>
      </c>
      <c r="J164" s="30"/>
      <c r="K164" s="29">
        <v>3.9</v>
      </c>
      <c r="L164" s="29">
        <v>17.8</v>
      </c>
      <c r="M164" s="29">
        <v>12.2</v>
      </c>
      <c r="N164" s="29">
        <v>3.2</v>
      </c>
      <c r="O164" s="30"/>
      <c r="P164" s="30"/>
      <c r="Q164" s="30"/>
      <c r="R164" s="29" t="s">
        <v>180</v>
      </c>
      <c r="S164" s="30"/>
      <c r="T164" s="31">
        <v>0</v>
      </c>
      <c r="U164" s="20" t="s">
        <v>159</v>
      </c>
    </row>
    <row r="165" spans="1:21" ht="15.6">
      <c r="A165" s="28">
        <v>7066</v>
      </c>
      <c r="B165" s="20" t="s">
        <v>158</v>
      </c>
      <c r="C165" s="32" t="s">
        <v>371</v>
      </c>
      <c r="D165" s="29">
        <v>5</v>
      </c>
      <c r="E165" s="29">
        <v>136</v>
      </c>
      <c r="F165" s="29">
        <v>72</v>
      </c>
      <c r="G165" s="29">
        <v>21.5</v>
      </c>
      <c r="H165" s="29">
        <v>5.5</v>
      </c>
      <c r="I165" s="30"/>
      <c r="J165" s="29" t="s">
        <v>180</v>
      </c>
      <c r="K165" s="29">
        <v>1</v>
      </c>
      <c r="L165" s="30"/>
      <c r="M165" s="29" t="s">
        <v>180</v>
      </c>
      <c r="N165" s="30"/>
      <c r="O165" s="29" t="s">
        <v>180</v>
      </c>
      <c r="P165" s="30"/>
      <c r="Q165" s="30"/>
      <c r="R165" s="29" t="s">
        <v>180</v>
      </c>
      <c r="S165" s="30"/>
      <c r="T165" s="31">
        <v>0</v>
      </c>
      <c r="U165" s="20" t="s">
        <v>158</v>
      </c>
    </row>
    <row r="166" spans="1:21" ht="15.6">
      <c r="A166" s="28">
        <v>7067</v>
      </c>
      <c r="B166" s="20" t="s">
        <v>158</v>
      </c>
      <c r="C166" s="20" t="s">
        <v>372</v>
      </c>
      <c r="D166" s="29">
        <v>8</v>
      </c>
      <c r="E166" s="29">
        <v>553</v>
      </c>
      <c r="F166" s="29">
        <v>29</v>
      </c>
      <c r="G166" s="29">
        <v>16</v>
      </c>
      <c r="H166" s="29">
        <v>54.3</v>
      </c>
      <c r="I166" s="30"/>
      <c r="J166" s="29" t="s">
        <v>180</v>
      </c>
      <c r="K166" s="29">
        <v>0.7</v>
      </c>
      <c r="L166" s="30"/>
      <c r="M166" s="29" t="s">
        <v>180</v>
      </c>
      <c r="N166" s="30"/>
      <c r="O166" s="29" t="s">
        <v>180</v>
      </c>
      <c r="P166" s="30"/>
      <c r="Q166" s="30"/>
      <c r="R166" s="29" t="s">
        <v>180</v>
      </c>
      <c r="S166" s="30"/>
      <c r="T166" s="31">
        <v>0</v>
      </c>
      <c r="U166" s="20" t="s">
        <v>158</v>
      </c>
    </row>
    <row r="167" spans="1:21" ht="15.6">
      <c r="A167" s="36">
        <v>7067</v>
      </c>
      <c r="B167" s="20" t="s">
        <v>158</v>
      </c>
      <c r="C167" s="32" t="s">
        <v>373</v>
      </c>
      <c r="D167" s="37">
        <v>8</v>
      </c>
      <c r="E167" s="37">
        <v>553</v>
      </c>
      <c r="F167" s="37">
        <v>29</v>
      </c>
      <c r="G167" s="37">
        <v>16</v>
      </c>
      <c r="H167" s="37">
        <v>54.3</v>
      </c>
      <c r="I167" s="38"/>
      <c r="J167" s="37" t="s">
        <v>180</v>
      </c>
      <c r="K167" s="37">
        <v>1.7</v>
      </c>
      <c r="L167" s="38"/>
      <c r="M167" s="37" t="s">
        <v>180</v>
      </c>
      <c r="N167" s="38"/>
      <c r="O167" s="37" t="s">
        <v>180</v>
      </c>
      <c r="P167" s="38"/>
      <c r="Q167" s="38"/>
      <c r="R167" s="37" t="s">
        <v>180</v>
      </c>
      <c r="S167" s="38"/>
      <c r="T167" s="39">
        <v>1</v>
      </c>
      <c r="U167" s="20" t="s">
        <v>158</v>
      </c>
    </row>
    <row r="168" spans="1:21" ht="15.6">
      <c r="A168" s="28">
        <v>7070</v>
      </c>
      <c r="B168" s="20" t="s">
        <v>158</v>
      </c>
      <c r="C168" s="20" t="s">
        <v>374</v>
      </c>
      <c r="D168" s="29">
        <v>10</v>
      </c>
      <c r="E168" s="29">
        <v>137</v>
      </c>
      <c r="F168" s="29">
        <v>68</v>
      </c>
      <c r="G168" s="29">
        <v>21.7</v>
      </c>
      <c r="H168" s="29">
        <v>3.7</v>
      </c>
      <c r="I168" s="29">
        <v>4.3</v>
      </c>
      <c r="J168" s="30"/>
      <c r="K168" s="29">
        <v>2.2999999999999998</v>
      </c>
      <c r="L168" s="29">
        <v>24</v>
      </c>
      <c r="M168" s="29">
        <v>78</v>
      </c>
      <c r="N168" s="30"/>
      <c r="O168" s="29" t="s">
        <v>180</v>
      </c>
      <c r="P168" s="30"/>
      <c r="Q168" s="30"/>
      <c r="R168" s="29" t="s">
        <v>180</v>
      </c>
      <c r="S168" s="30"/>
      <c r="T168" s="31">
        <v>0</v>
      </c>
      <c r="U168" s="20" t="s">
        <v>158</v>
      </c>
    </row>
    <row r="169" spans="1:21" ht="15.6">
      <c r="A169" s="28">
        <v>7071</v>
      </c>
      <c r="B169" s="20" t="s">
        <v>158</v>
      </c>
      <c r="C169" s="20" t="s">
        <v>375</v>
      </c>
      <c r="D169" s="29">
        <v>0</v>
      </c>
      <c r="E169" s="29">
        <v>396</v>
      </c>
      <c r="F169" s="29">
        <v>25.8</v>
      </c>
      <c r="G169" s="29">
        <v>46.6</v>
      </c>
      <c r="H169" s="29">
        <v>20.3</v>
      </c>
      <c r="I169" s="29">
        <v>0</v>
      </c>
      <c r="J169" s="30"/>
      <c r="K169" s="29">
        <v>7.3</v>
      </c>
      <c r="L169" s="29">
        <v>28.5</v>
      </c>
      <c r="M169" s="29">
        <v>15.5</v>
      </c>
      <c r="N169" s="29">
        <v>0.3</v>
      </c>
      <c r="O169" s="30"/>
      <c r="P169" s="30"/>
      <c r="Q169" s="30"/>
      <c r="R169" s="29" t="s">
        <v>180</v>
      </c>
      <c r="S169" s="30"/>
      <c r="T169" s="31">
        <v>0</v>
      </c>
      <c r="U169" s="20" t="s">
        <v>158</v>
      </c>
    </row>
    <row r="170" spans="1:21" ht="15.6">
      <c r="A170" s="28">
        <v>7074</v>
      </c>
      <c r="B170" s="20" t="s">
        <v>158</v>
      </c>
      <c r="C170" s="20" t="s">
        <v>376</v>
      </c>
      <c r="D170" s="29">
        <v>2</v>
      </c>
      <c r="E170" s="29">
        <v>535</v>
      </c>
      <c r="F170" s="29">
        <v>17</v>
      </c>
      <c r="G170" s="29">
        <v>27.2</v>
      </c>
      <c r="H170" s="29">
        <v>47.4</v>
      </c>
      <c r="I170" s="30"/>
      <c r="J170" s="29" t="s">
        <v>180</v>
      </c>
      <c r="K170" s="29">
        <v>8.4</v>
      </c>
      <c r="L170" s="29">
        <v>7</v>
      </c>
      <c r="M170" s="29">
        <v>139</v>
      </c>
      <c r="N170" s="29">
        <v>1.9</v>
      </c>
      <c r="O170" s="30"/>
      <c r="P170" s="30"/>
      <c r="Q170" s="29">
        <v>0.3</v>
      </c>
      <c r="R170" s="29" t="s">
        <v>180</v>
      </c>
      <c r="S170" s="30"/>
      <c r="T170" s="31">
        <v>0</v>
      </c>
      <c r="U170" s="20" t="s">
        <v>158</v>
      </c>
    </row>
    <row r="171" spans="1:21" ht="15.6">
      <c r="A171" s="28">
        <v>7077</v>
      </c>
      <c r="B171" s="20" t="s">
        <v>162</v>
      </c>
      <c r="C171" s="20" t="s">
        <v>42</v>
      </c>
      <c r="D171" s="29">
        <v>57</v>
      </c>
      <c r="E171" s="29">
        <v>90</v>
      </c>
      <c r="F171" s="29">
        <v>75</v>
      </c>
      <c r="G171" s="29">
        <v>20</v>
      </c>
      <c r="H171" s="29">
        <v>1.1000000000000001</v>
      </c>
      <c r="I171" s="29">
        <v>0</v>
      </c>
      <c r="J171" s="30"/>
      <c r="K171" s="29">
        <v>3.9</v>
      </c>
      <c r="L171" s="29">
        <v>22</v>
      </c>
      <c r="M171" s="29">
        <v>159</v>
      </c>
      <c r="N171" s="29">
        <v>1.3</v>
      </c>
      <c r="O171" s="29">
        <v>5</v>
      </c>
      <c r="P171" s="30"/>
      <c r="Q171" s="29">
        <v>0</v>
      </c>
      <c r="R171" s="29">
        <v>0.2</v>
      </c>
      <c r="S171" s="29">
        <v>2.1</v>
      </c>
      <c r="T171" s="31">
        <v>0</v>
      </c>
      <c r="U171" s="20" t="s">
        <v>162</v>
      </c>
    </row>
    <row r="172" spans="1:21" ht="15.6">
      <c r="A172" s="28">
        <v>8001</v>
      </c>
      <c r="B172" s="20" t="s">
        <v>162</v>
      </c>
      <c r="C172" s="20" t="s">
        <v>377</v>
      </c>
      <c r="D172" s="29">
        <v>45</v>
      </c>
      <c r="E172" s="29">
        <v>70</v>
      </c>
      <c r="F172" s="29">
        <v>81.900000000000006</v>
      </c>
      <c r="G172" s="29">
        <v>15.8</v>
      </c>
      <c r="H172" s="29">
        <v>0.8</v>
      </c>
      <c r="I172" s="29">
        <v>0</v>
      </c>
      <c r="J172" s="30"/>
      <c r="K172" s="29">
        <v>1.5</v>
      </c>
      <c r="L172" s="29">
        <v>17</v>
      </c>
      <c r="M172" s="29">
        <v>181</v>
      </c>
      <c r="N172" s="29">
        <v>0.9</v>
      </c>
      <c r="O172" s="30"/>
      <c r="P172" s="30"/>
      <c r="Q172" s="29">
        <v>0</v>
      </c>
      <c r="R172" s="29">
        <v>0</v>
      </c>
      <c r="S172" s="29">
        <v>3.2</v>
      </c>
      <c r="T172" s="31">
        <v>0</v>
      </c>
      <c r="U172" s="20" t="s">
        <v>162</v>
      </c>
    </row>
    <row r="173" spans="1:21" ht="15.6">
      <c r="A173" s="28">
        <v>8002</v>
      </c>
      <c r="B173" s="20" t="s">
        <v>162</v>
      </c>
      <c r="C173" s="42" t="s">
        <v>378</v>
      </c>
      <c r="D173" s="29">
        <v>31</v>
      </c>
      <c r="E173" s="29">
        <v>113</v>
      </c>
      <c r="F173" s="29">
        <v>75.099999999999994</v>
      </c>
      <c r="G173" s="29">
        <v>20.100000000000001</v>
      </c>
      <c r="H173" s="29">
        <v>3.6</v>
      </c>
      <c r="I173" s="29">
        <v>0</v>
      </c>
      <c r="J173" s="30"/>
      <c r="K173" s="29">
        <v>1.2</v>
      </c>
      <c r="L173" s="29">
        <v>62.8</v>
      </c>
      <c r="M173" s="29">
        <v>176</v>
      </c>
      <c r="N173" s="29">
        <v>0.2</v>
      </c>
      <c r="O173" s="30"/>
      <c r="P173" s="30"/>
      <c r="Q173" s="30"/>
      <c r="R173" s="29" t="s">
        <v>180</v>
      </c>
      <c r="S173" s="30"/>
      <c r="T173" s="31">
        <v>0</v>
      </c>
      <c r="U173" s="20" t="s">
        <v>162</v>
      </c>
    </row>
    <row r="174" spans="1:21" ht="15.6">
      <c r="A174" s="28">
        <v>8003</v>
      </c>
      <c r="B174" s="20" t="s">
        <v>162</v>
      </c>
      <c r="C174" s="42" t="s">
        <v>379</v>
      </c>
      <c r="D174" s="29">
        <v>40</v>
      </c>
      <c r="E174" s="29">
        <v>96</v>
      </c>
      <c r="F174" s="29">
        <v>79.099999999999994</v>
      </c>
      <c r="G174" s="29">
        <v>16</v>
      </c>
      <c r="H174" s="29">
        <v>3.6</v>
      </c>
      <c r="I174" s="29">
        <v>0</v>
      </c>
      <c r="J174" s="30"/>
      <c r="K174" s="29">
        <v>1.3</v>
      </c>
      <c r="L174" s="29">
        <v>17</v>
      </c>
      <c r="M174" s="29">
        <v>184</v>
      </c>
      <c r="N174" s="29">
        <v>0.9</v>
      </c>
      <c r="O174" s="29">
        <v>181</v>
      </c>
      <c r="P174" s="30"/>
      <c r="Q174" s="29">
        <v>0</v>
      </c>
      <c r="R174" s="29">
        <v>0</v>
      </c>
      <c r="S174" s="29">
        <v>1.5</v>
      </c>
      <c r="T174" s="31">
        <v>0</v>
      </c>
      <c r="U174" s="20" t="s">
        <v>162</v>
      </c>
    </row>
    <row r="175" spans="1:21" ht="15.6">
      <c r="A175" s="28">
        <v>8004</v>
      </c>
      <c r="B175" s="20" t="s">
        <v>162</v>
      </c>
      <c r="C175" s="20" t="s">
        <v>380</v>
      </c>
      <c r="D175" s="30">
        <v>20</v>
      </c>
      <c r="E175" s="29">
        <v>115</v>
      </c>
      <c r="F175" s="29">
        <v>75.599999999999994</v>
      </c>
      <c r="G175" s="29">
        <v>17.600000000000001</v>
      </c>
      <c r="H175" s="29">
        <v>5</v>
      </c>
      <c r="I175" s="29">
        <v>0</v>
      </c>
      <c r="J175" s="30"/>
      <c r="K175" s="29">
        <v>1.8</v>
      </c>
      <c r="L175" s="29">
        <v>64</v>
      </c>
      <c r="M175" s="29">
        <v>70</v>
      </c>
      <c r="N175" s="30"/>
      <c r="O175" s="29" t="s">
        <v>180</v>
      </c>
      <c r="P175" s="30"/>
      <c r="Q175" s="30"/>
      <c r="R175" s="29" t="s">
        <v>180</v>
      </c>
      <c r="S175" s="30"/>
      <c r="T175" s="31">
        <v>0</v>
      </c>
      <c r="U175" s="20" t="s">
        <v>162</v>
      </c>
    </row>
    <row r="176" spans="1:21" ht="15.6">
      <c r="A176" s="28">
        <v>8005</v>
      </c>
      <c r="B176" s="20" t="s">
        <v>162</v>
      </c>
      <c r="C176" s="20" t="s">
        <v>381</v>
      </c>
      <c r="D176" s="29">
        <v>9.9</v>
      </c>
      <c r="E176" s="29">
        <v>96</v>
      </c>
      <c r="F176" s="29">
        <v>75.099999999999994</v>
      </c>
      <c r="G176" s="29">
        <v>18.899999999999999</v>
      </c>
      <c r="H176" s="29">
        <v>2.2999999999999998</v>
      </c>
      <c r="I176" s="29">
        <v>0</v>
      </c>
      <c r="J176" s="30"/>
      <c r="K176" s="29">
        <v>3.7</v>
      </c>
      <c r="L176" s="29">
        <v>527</v>
      </c>
      <c r="M176" s="29">
        <v>885</v>
      </c>
      <c r="N176" s="30"/>
      <c r="O176" s="29" t="s">
        <v>180</v>
      </c>
      <c r="P176" s="30"/>
      <c r="Q176" s="30"/>
      <c r="R176" s="29" t="s">
        <v>180</v>
      </c>
      <c r="S176" s="30"/>
      <c r="T176" s="31">
        <v>0</v>
      </c>
      <c r="U176" s="20" t="s">
        <v>162</v>
      </c>
    </row>
    <row r="177" spans="1:21" ht="15.6">
      <c r="A177" s="28">
        <v>8006</v>
      </c>
      <c r="B177" s="20" t="s">
        <v>162</v>
      </c>
      <c r="C177" s="20" t="s">
        <v>382</v>
      </c>
      <c r="D177" s="29">
        <v>45</v>
      </c>
      <c r="E177" s="29">
        <v>87</v>
      </c>
      <c r="F177" s="29">
        <v>78.900000000000006</v>
      </c>
      <c r="G177" s="29">
        <v>17.7</v>
      </c>
      <c r="H177" s="29">
        <v>1.8</v>
      </c>
      <c r="I177" s="29">
        <v>0</v>
      </c>
      <c r="J177" s="30"/>
      <c r="K177" s="29">
        <v>1.6</v>
      </c>
      <c r="L177" s="29">
        <v>70</v>
      </c>
      <c r="M177" s="29">
        <v>152</v>
      </c>
      <c r="N177" s="29">
        <v>0.8</v>
      </c>
      <c r="O177" s="29">
        <v>120</v>
      </c>
      <c r="P177" s="30"/>
      <c r="Q177" s="30"/>
      <c r="R177" s="29" t="s">
        <v>180</v>
      </c>
      <c r="S177" s="30"/>
      <c r="T177" s="31">
        <v>0</v>
      </c>
      <c r="U177" s="20" t="s">
        <v>162</v>
      </c>
    </row>
    <row r="178" spans="1:21" ht="15.6">
      <c r="A178" s="28">
        <v>8007</v>
      </c>
      <c r="B178" s="20" t="s">
        <v>162</v>
      </c>
      <c r="C178" s="20" t="s">
        <v>383</v>
      </c>
      <c r="D178" s="30">
        <v>20</v>
      </c>
      <c r="E178" s="29">
        <v>94</v>
      </c>
      <c r="F178" s="29">
        <v>78.3</v>
      </c>
      <c r="G178" s="29">
        <v>18.3</v>
      </c>
      <c r="H178" s="29">
        <v>2.2999999999999998</v>
      </c>
      <c r="I178" s="29">
        <v>0</v>
      </c>
      <c r="J178" s="30"/>
      <c r="K178" s="29">
        <v>1.1000000000000001</v>
      </c>
      <c r="L178" s="29">
        <v>36</v>
      </c>
      <c r="M178" s="29">
        <v>50</v>
      </c>
      <c r="N178" s="30"/>
      <c r="O178" s="29" t="s">
        <v>180</v>
      </c>
      <c r="P178" s="30"/>
      <c r="Q178" s="30"/>
      <c r="R178" s="29" t="s">
        <v>180</v>
      </c>
      <c r="S178" s="30"/>
      <c r="T178" s="31">
        <v>0</v>
      </c>
      <c r="U178" s="20" t="s">
        <v>162</v>
      </c>
    </row>
    <row r="179" spans="1:21" ht="15.6">
      <c r="A179" s="28">
        <v>8008</v>
      </c>
      <c r="B179" s="20" t="s">
        <v>162</v>
      </c>
      <c r="C179" s="20" t="s">
        <v>384</v>
      </c>
      <c r="D179" s="30">
        <v>20</v>
      </c>
      <c r="E179" s="29">
        <v>83</v>
      </c>
      <c r="F179" s="29">
        <v>78.8</v>
      </c>
      <c r="G179" s="29">
        <v>18.7</v>
      </c>
      <c r="H179" s="29">
        <v>0.9</v>
      </c>
      <c r="I179" s="29">
        <v>0</v>
      </c>
      <c r="J179" s="30"/>
      <c r="K179" s="29">
        <v>1.6</v>
      </c>
      <c r="L179" s="29">
        <v>80</v>
      </c>
      <c r="M179" s="29">
        <v>130</v>
      </c>
      <c r="N179" s="30"/>
      <c r="O179" s="29" t="s">
        <v>180</v>
      </c>
      <c r="P179" s="30"/>
      <c r="Q179" s="30"/>
      <c r="R179" s="29" t="s">
        <v>180</v>
      </c>
      <c r="S179" s="30"/>
      <c r="T179" s="31">
        <v>0</v>
      </c>
      <c r="U179" s="20" t="s">
        <v>162</v>
      </c>
    </row>
    <row r="180" spans="1:21" ht="15.6">
      <c r="A180" s="28">
        <v>8009</v>
      </c>
      <c r="B180" s="20" t="s">
        <v>162</v>
      </c>
      <c r="C180" s="20" t="s">
        <v>385</v>
      </c>
      <c r="D180" s="29">
        <v>42</v>
      </c>
      <c r="E180" s="29">
        <v>108</v>
      </c>
      <c r="F180" s="29">
        <v>76</v>
      </c>
      <c r="G180" s="29">
        <v>19.5</v>
      </c>
      <c r="H180" s="29">
        <v>3.3</v>
      </c>
      <c r="I180" s="29">
        <v>0</v>
      </c>
      <c r="J180" s="30"/>
      <c r="K180" s="29">
        <v>1.2</v>
      </c>
      <c r="L180" s="29">
        <v>21</v>
      </c>
      <c r="M180" s="29">
        <v>224</v>
      </c>
      <c r="N180" s="29">
        <v>1</v>
      </c>
      <c r="O180" s="29">
        <v>45</v>
      </c>
      <c r="P180" s="30"/>
      <c r="Q180" s="29">
        <v>0.1</v>
      </c>
      <c r="R180" s="29">
        <v>0.2</v>
      </c>
      <c r="S180" s="29">
        <v>4.5999999999999996</v>
      </c>
      <c r="T180" s="31">
        <v>0</v>
      </c>
      <c r="U180" s="20" t="s">
        <v>162</v>
      </c>
    </row>
    <row r="181" spans="1:21" ht="15.6">
      <c r="A181" s="28">
        <v>8010</v>
      </c>
      <c r="B181" s="20" t="s">
        <v>162</v>
      </c>
      <c r="C181" s="20" t="s">
        <v>386</v>
      </c>
      <c r="D181" s="30">
        <v>20</v>
      </c>
      <c r="E181" s="29">
        <v>98</v>
      </c>
      <c r="F181" s="29">
        <v>76.400000000000006</v>
      </c>
      <c r="G181" s="29">
        <v>20.100000000000001</v>
      </c>
      <c r="H181" s="29">
        <v>2</v>
      </c>
      <c r="I181" s="29">
        <v>0</v>
      </c>
      <c r="J181" s="30"/>
      <c r="K181" s="29">
        <v>1.5</v>
      </c>
      <c r="L181" s="29">
        <v>90</v>
      </c>
      <c r="M181" s="29">
        <v>100</v>
      </c>
      <c r="N181" s="30"/>
      <c r="O181" s="29" t="s">
        <v>180</v>
      </c>
      <c r="P181" s="30"/>
      <c r="Q181" s="30"/>
      <c r="R181" s="29" t="s">
        <v>180</v>
      </c>
      <c r="S181" s="30"/>
      <c r="T181" s="31">
        <v>0</v>
      </c>
      <c r="U181" s="20" t="s">
        <v>162</v>
      </c>
    </row>
    <row r="182" spans="1:21" ht="15.6">
      <c r="A182" s="28">
        <v>8011</v>
      </c>
      <c r="B182" s="20" t="s">
        <v>162</v>
      </c>
      <c r="C182" s="20" t="s">
        <v>387</v>
      </c>
      <c r="D182" s="29">
        <v>40</v>
      </c>
      <c r="E182" s="29">
        <v>136</v>
      </c>
      <c r="F182" s="29">
        <v>71.3</v>
      </c>
      <c r="G182" s="29">
        <v>22</v>
      </c>
      <c r="H182" s="29">
        <v>5.3</v>
      </c>
      <c r="I182" s="29">
        <v>0</v>
      </c>
      <c r="J182" s="30"/>
      <c r="K182" s="29">
        <v>1.4</v>
      </c>
      <c r="L182" s="29">
        <v>13</v>
      </c>
      <c r="M182" s="29">
        <v>230</v>
      </c>
      <c r="N182" s="29">
        <v>1.1000000000000001</v>
      </c>
      <c r="O182" s="29">
        <v>30</v>
      </c>
      <c r="P182" s="30"/>
      <c r="Q182" s="29">
        <v>0.2</v>
      </c>
      <c r="R182" s="29">
        <v>0.1</v>
      </c>
      <c r="S182" s="29">
        <v>7</v>
      </c>
      <c r="T182" s="31">
        <v>0</v>
      </c>
      <c r="U182" s="20" t="s">
        <v>162</v>
      </c>
    </row>
    <row r="183" spans="1:21" ht="15.6">
      <c r="A183" s="28">
        <v>8012</v>
      </c>
      <c r="B183" s="20" t="s">
        <v>162</v>
      </c>
      <c r="C183" s="20" t="s">
        <v>388</v>
      </c>
      <c r="D183" s="29">
        <v>15</v>
      </c>
      <c r="E183" s="29">
        <v>208</v>
      </c>
      <c r="F183" s="29">
        <v>37.799999999999997</v>
      </c>
      <c r="G183" s="29">
        <v>43.3</v>
      </c>
      <c r="H183" s="29">
        <v>3.9</v>
      </c>
      <c r="I183" s="29">
        <v>0</v>
      </c>
      <c r="J183" s="30"/>
      <c r="K183" s="29">
        <v>15</v>
      </c>
      <c r="L183" s="29">
        <v>120</v>
      </c>
      <c r="M183" s="29">
        <v>95</v>
      </c>
      <c r="N183" s="29">
        <v>0.9</v>
      </c>
      <c r="O183" s="30"/>
      <c r="P183" s="30"/>
      <c r="Q183" s="29">
        <v>0.1</v>
      </c>
      <c r="R183" s="29">
        <v>0.3</v>
      </c>
      <c r="S183" s="29">
        <v>4.5999999999999996</v>
      </c>
      <c r="T183" s="31">
        <v>0</v>
      </c>
      <c r="U183" s="20" t="s">
        <v>162</v>
      </c>
    </row>
    <row r="184" spans="1:21" ht="15.6">
      <c r="A184" s="28">
        <v>8013</v>
      </c>
      <c r="B184" s="20" t="s">
        <v>162</v>
      </c>
      <c r="C184" s="20" t="s">
        <v>389</v>
      </c>
      <c r="D184" s="30">
        <v>20</v>
      </c>
      <c r="E184" s="29">
        <v>71</v>
      </c>
      <c r="F184" s="29">
        <v>78.099999999999994</v>
      </c>
      <c r="G184" s="29">
        <v>16.7</v>
      </c>
      <c r="H184" s="29">
        <v>0.5</v>
      </c>
      <c r="I184" s="29">
        <v>0</v>
      </c>
      <c r="J184" s="30"/>
      <c r="K184" s="29">
        <v>4.7</v>
      </c>
      <c r="L184" s="29">
        <v>80</v>
      </c>
      <c r="M184" s="29">
        <v>210</v>
      </c>
      <c r="N184" s="30"/>
      <c r="O184" s="29" t="s">
        <v>180</v>
      </c>
      <c r="P184" s="30"/>
      <c r="Q184" s="30"/>
      <c r="R184" s="29" t="s">
        <v>180</v>
      </c>
      <c r="S184" s="30"/>
      <c r="T184" s="31">
        <v>0</v>
      </c>
      <c r="U184" s="20" t="s">
        <v>162</v>
      </c>
    </row>
    <row r="185" spans="1:21" ht="15.6">
      <c r="A185" s="28">
        <v>8014</v>
      </c>
      <c r="B185" s="20" t="s">
        <v>162</v>
      </c>
      <c r="C185" s="32" t="s">
        <v>390</v>
      </c>
      <c r="D185" s="29">
        <v>35.5</v>
      </c>
      <c r="E185" s="29">
        <v>144</v>
      </c>
      <c r="F185" s="29">
        <v>74.7</v>
      </c>
      <c r="G185" s="29">
        <v>15.4</v>
      </c>
      <c r="H185" s="29">
        <v>9.1</v>
      </c>
      <c r="I185" s="29">
        <v>0</v>
      </c>
      <c r="J185" s="30"/>
      <c r="K185" s="29">
        <v>0.8</v>
      </c>
      <c r="L185" s="29">
        <v>157</v>
      </c>
      <c r="M185" s="29">
        <v>215</v>
      </c>
      <c r="N185" s="30"/>
      <c r="O185" s="29" t="s">
        <v>180</v>
      </c>
      <c r="P185" s="30"/>
      <c r="Q185" s="30"/>
      <c r="R185" s="29" t="s">
        <v>180</v>
      </c>
      <c r="S185" s="30"/>
      <c r="T185" s="31">
        <v>0</v>
      </c>
      <c r="U185" s="20" t="s">
        <v>162</v>
      </c>
    </row>
    <row r="186" spans="1:21" ht="15.6">
      <c r="A186" s="28">
        <v>8015</v>
      </c>
      <c r="B186" s="20" t="s">
        <v>162</v>
      </c>
      <c r="C186" s="32" t="s">
        <v>391</v>
      </c>
      <c r="D186" s="29">
        <v>45</v>
      </c>
      <c r="E186" s="29">
        <v>124</v>
      </c>
      <c r="F186" s="29">
        <v>75.3</v>
      </c>
      <c r="G186" s="29">
        <v>17.5</v>
      </c>
      <c r="H186" s="29">
        <v>6</v>
      </c>
      <c r="I186" s="29">
        <v>0</v>
      </c>
      <c r="J186" s="30"/>
      <c r="K186" s="29">
        <v>1.2</v>
      </c>
      <c r="L186" s="29">
        <v>80</v>
      </c>
      <c r="M186" s="29">
        <v>240</v>
      </c>
      <c r="N186" s="29">
        <v>3</v>
      </c>
      <c r="O186" s="29">
        <v>20</v>
      </c>
      <c r="P186" s="30"/>
      <c r="Q186" s="29">
        <v>0</v>
      </c>
      <c r="R186" s="29">
        <v>0.2</v>
      </c>
      <c r="S186" s="29">
        <v>10.1</v>
      </c>
      <c r="T186" s="31">
        <v>0</v>
      </c>
      <c r="U186" s="20" t="s">
        <v>162</v>
      </c>
    </row>
    <row r="187" spans="1:21" ht="15.6">
      <c r="A187" s="28">
        <v>8016</v>
      </c>
      <c r="B187" s="20" t="s">
        <v>162</v>
      </c>
      <c r="C187" s="32" t="s">
        <v>392</v>
      </c>
      <c r="D187" s="29">
        <v>20</v>
      </c>
      <c r="E187" s="29">
        <v>151</v>
      </c>
      <c r="F187" s="29">
        <v>72.7</v>
      </c>
      <c r="G187" s="29">
        <v>16.8</v>
      </c>
      <c r="H187" s="29">
        <v>9.3000000000000007</v>
      </c>
      <c r="I187" s="29">
        <v>0</v>
      </c>
      <c r="J187" s="30"/>
      <c r="K187" s="29">
        <v>1.2</v>
      </c>
      <c r="L187" s="29">
        <v>42</v>
      </c>
      <c r="M187" s="29">
        <v>173</v>
      </c>
      <c r="N187" s="29">
        <v>1.4</v>
      </c>
      <c r="O187" s="29">
        <v>30</v>
      </c>
      <c r="P187" s="30"/>
      <c r="Q187" s="29">
        <v>0.1</v>
      </c>
      <c r="R187" s="29">
        <v>0.2</v>
      </c>
      <c r="S187" s="29">
        <v>2.7</v>
      </c>
      <c r="T187" s="31">
        <v>0</v>
      </c>
      <c r="U187" s="20" t="s">
        <v>162</v>
      </c>
    </row>
    <row r="188" spans="1:21" ht="15.6">
      <c r="A188" s="28">
        <v>8017</v>
      </c>
      <c r="B188" s="20" t="s">
        <v>162</v>
      </c>
      <c r="C188" s="32" t="s">
        <v>393</v>
      </c>
      <c r="D188" s="30">
        <v>20</v>
      </c>
      <c r="E188" s="29">
        <v>116</v>
      </c>
      <c r="F188" s="29">
        <v>73.3</v>
      </c>
      <c r="G188" s="29">
        <v>22.1</v>
      </c>
      <c r="H188" s="29">
        <v>3.1</v>
      </c>
      <c r="I188" s="29">
        <v>0</v>
      </c>
      <c r="J188" s="30"/>
      <c r="K188" s="29">
        <v>1.5</v>
      </c>
      <c r="L188" s="29">
        <v>60</v>
      </c>
      <c r="M188" s="29">
        <v>102</v>
      </c>
      <c r="N188" s="30"/>
      <c r="O188" s="29" t="s">
        <v>180</v>
      </c>
      <c r="P188" s="30"/>
      <c r="Q188" s="30"/>
      <c r="R188" s="29" t="s">
        <v>180</v>
      </c>
      <c r="S188" s="30"/>
      <c r="T188" s="31">
        <v>0</v>
      </c>
      <c r="U188" s="20" t="s">
        <v>162</v>
      </c>
    </row>
    <row r="189" spans="1:21" ht="15.6">
      <c r="A189" s="28">
        <v>8018</v>
      </c>
      <c r="B189" s="20" t="s">
        <v>162</v>
      </c>
      <c r="C189" s="32" t="s">
        <v>394</v>
      </c>
      <c r="D189" s="29">
        <v>39</v>
      </c>
      <c r="E189" s="29">
        <v>80</v>
      </c>
      <c r="F189" s="29">
        <v>80</v>
      </c>
      <c r="G189" s="29">
        <v>17.5</v>
      </c>
      <c r="H189" s="29">
        <v>1.1000000000000001</v>
      </c>
      <c r="I189" s="29">
        <v>0</v>
      </c>
      <c r="J189" s="30"/>
      <c r="K189" s="29">
        <v>1.4</v>
      </c>
      <c r="L189" s="29">
        <v>42</v>
      </c>
      <c r="M189" s="29">
        <v>173</v>
      </c>
      <c r="N189" s="29">
        <v>1.4</v>
      </c>
      <c r="O189" s="30"/>
      <c r="P189" s="30"/>
      <c r="Q189" s="29">
        <v>0.1</v>
      </c>
      <c r="R189" s="29">
        <v>0.1</v>
      </c>
      <c r="S189" s="29">
        <v>2.2000000000000002</v>
      </c>
      <c r="T189" s="31">
        <v>0</v>
      </c>
      <c r="U189" s="20" t="s">
        <v>162</v>
      </c>
    </row>
    <row r="190" spans="1:21" ht="15.6">
      <c r="A190" s="28">
        <v>8019</v>
      </c>
      <c r="B190" s="20" t="s">
        <v>162</v>
      </c>
      <c r="C190" s="32" t="s">
        <v>395</v>
      </c>
      <c r="D190" s="29">
        <v>42</v>
      </c>
      <c r="E190" s="29">
        <v>87</v>
      </c>
      <c r="F190" s="29">
        <v>77.5</v>
      </c>
      <c r="G190" s="29">
        <v>21</v>
      </c>
      <c r="H190" s="29">
        <v>0.3</v>
      </c>
      <c r="I190" s="29">
        <v>0</v>
      </c>
      <c r="J190" s="30"/>
      <c r="K190" s="29">
        <v>1.2</v>
      </c>
      <c r="L190" s="29">
        <v>44</v>
      </c>
      <c r="M190" s="29">
        <v>206</v>
      </c>
      <c r="N190" s="29">
        <v>1</v>
      </c>
      <c r="O190" s="29">
        <v>5</v>
      </c>
      <c r="P190" s="30"/>
      <c r="Q190" s="29">
        <v>0</v>
      </c>
      <c r="R190" s="29">
        <v>0.1</v>
      </c>
      <c r="S190" s="29">
        <v>4</v>
      </c>
      <c r="T190" s="31">
        <v>0</v>
      </c>
      <c r="U190" s="20" t="s">
        <v>162</v>
      </c>
    </row>
    <row r="191" spans="1:21" ht="15.6">
      <c r="A191" s="28">
        <v>8020</v>
      </c>
      <c r="B191" s="20" t="s">
        <v>162</v>
      </c>
      <c r="C191" s="32" t="s">
        <v>396</v>
      </c>
      <c r="D191" s="30">
        <v>20</v>
      </c>
      <c r="E191" s="29">
        <v>111</v>
      </c>
      <c r="F191" s="29">
        <v>74.900000000000006</v>
      </c>
      <c r="G191" s="29">
        <v>20.2</v>
      </c>
      <c r="H191" s="29">
        <v>3.3</v>
      </c>
      <c r="I191" s="29">
        <v>0</v>
      </c>
      <c r="J191" s="30"/>
      <c r="K191" s="29">
        <v>1.6</v>
      </c>
      <c r="L191" s="29">
        <v>85</v>
      </c>
      <c r="M191" s="29">
        <v>160</v>
      </c>
      <c r="N191" s="30"/>
      <c r="O191" s="29" t="s">
        <v>180</v>
      </c>
      <c r="P191" s="30"/>
      <c r="Q191" s="30"/>
      <c r="R191" s="29" t="s">
        <v>180</v>
      </c>
      <c r="S191" s="30"/>
      <c r="T191" s="31">
        <v>0</v>
      </c>
      <c r="U191" s="20" t="s">
        <v>162</v>
      </c>
    </row>
    <row r="192" spans="1:21" ht="15.6">
      <c r="A192" s="28">
        <v>8021</v>
      </c>
      <c r="B192" s="20" t="s">
        <v>162</v>
      </c>
      <c r="C192" s="32" t="s">
        <v>397</v>
      </c>
      <c r="D192" s="30">
        <v>25</v>
      </c>
      <c r="E192" s="29">
        <v>104</v>
      </c>
      <c r="F192" s="29">
        <v>78.2</v>
      </c>
      <c r="G192" s="29">
        <v>15.9</v>
      </c>
      <c r="H192" s="29">
        <v>4.5</v>
      </c>
      <c r="I192" s="29">
        <v>0</v>
      </c>
      <c r="J192" s="30"/>
      <c r="K192" s="29">
        <v>1.4</v>
      </c>
      <c r="L192" s="29">
        <v>40</v>
      </c>
      <c r="M192" s="29">
        <v>50</v>
      </c>
      <c r="N192" s="30"/>
      <c r="O192" s="29" t="s">
        <v>180</v>
      </c>
      <c r="P192" s="30"/>
      <c r="Q192" s="30"/>
      <c r="R192" s="29" t="s">
        <v>180</v>
      </c>
      <c r="S192" s="30"/>
      <c r="T192" s="31">
        <v>0</v>
      </c>
      <c r="U192" s="20" t="s">
        <v>162</v>
      </c>
    </row>
    <row r="193" spans="1:21" ht="15.6">
      <c r="A193" s="28">
        <v>8022</v>
      </c>
      <c r="B193" s="20" t="s">
        <v>162</v>
      </c>
      <c r="C193" s="32" t="s">
        <v>398</v>
      </c>
      <c r="D193" s="29">
        <v>40</v>
      </c>
      <c r="E193" s="29">
        <v>97</v>
      </c>
      <c r="F193" s="29">
        <v>78</v>
      </c>
      <c r="G193" s="29">
        <v>18.2</v>
      </c>
      <c r="H193" s="29">
        <v>2.7</v>
      </c>
      <c r="I193" s="29">
        <v>0</v>
      </c>
      <c r="J193" s="30"/>
      <c r="K193" s="29">
        <v>1.1000000000000001</v>
      </c>
      <c r="L193" s="29">
        <v>90</v>
      </c>
      <c r="M193" s="29">
        <v>240</v>
      </c>
      <c r="N193" s="30"/>
      <c r="O193" s="29" t="s">
        <v>180</v>
      </c>
      <c r="P193" s="30"/>
      <c r="Q193" s="29">
        <v>0</v>
      </c>
      <c r="R193" s="29">
        <v>0.1</v>
      </c>
      <c r="S193" s="29">
        <v>2.2999999999999998</v>
      </c>
      <c r="T193" s="31">
        <v>0</v>
      </c>
      <c r="U193" s="20" t="s">
        <v>162</v>
      </c>
    </row>
    <row r="194" spans="1:21" ht="15.6">
      <c r="A194" s="28">
        <v>8023</v>
      </c>
      <c r="B194" s="20" t="s">
        <v>162</v>
      </c>
      <c r="C194" s="32" t="s">
        <v>399</v>
      </c>
      <c r="D194" s="29">
        <v>44</v>
      </c>
      <c r="E194" s="29">
        <v>126</v>
      </c>
      <c r="F194" s="29">
        <v>74.2</v>
      </c>
      <c r="G194" s="29">
        <v>19.100000000000001</v>
      </c>
      <c r="H194" s="29">
        <v>5.5</v>
      </c>
      <c r="I194" s="29">
        <v>0</v>
      </c>
      <c r="J194" s="30"/>
      <c r="K194" s="29">
        <v>1.2</v>
      </c>
      <c r="L194" s="29">
        <v>26.4</v>
      </c>
      <c r="M194" s="29">
        <v>151.19999999999999</v>
      </c>
      <c r="N194" s="29">
        <v>0.3</v>
      </c>
      <c r="O194" s="30"/>
      <c r="P194" s="30"/>
      <c r="Q194" s="30"/>
      <c r="R194" s="29" t="s">
        <v>180</v>
      </c>
      <c r="S194" s="30"/>
      <c r="T194" s="31">
        <v>0</v>
      </c>
      <c r="U194" s="20" t="s">
        <v>162</v>
      </c>
    </row>
    <row r="195" spans="1:21" ht="15.6">
      <c r="A195" s="28">
        <v>8024</v>
      </c>
      <c r="B195" s="20" t="s">
        <v>162</v>
      </c>
      <c r="C195" s="32" t="s">
        <v>400</v>
      </c>
      <c r="D195" s="29">
        <v>43.4</v>
      </c>
      <c r="E195" s="29">
        <v>100</v>
      </c>
      <c r="F195" s="29">
        <v>76.8</v>
      </c>
      <c r="G195" s="29">
        <v>19.7</v>
      </c>
      <c r="H195" s="29">
        <v>2.2999999999999998</v>
      </c>
      <c r="I195" s="29">
        <v>0</v>
      </c>
      <c r="J195" s="30"/>
      <c r="K195" s="29">
        <v>1.2</v>
      </c>
      <c r="L195" s="29">
        <v>49.7</v>
      </c>
      <c r="M195" s="29">
        <v>147.5</v>
      </c>
      <c r="N195" s="29">
        <v>0.5</v>
      </c>
      <c r="O195" s="30"/>
      <c r="P195" s="30"/>
      <c r="Q195" s="30"/>
      <c r="R195" s="29" t="s">
        <v>180</v>
      </c>
      <c r="S195" s="30"/>
      <c r="T195" s="31">
        <v>0</v>
      </c>
      <c r="U195" s="20" t="s">
        <v>162</v>
      </c>
    </row>
    <row r="196" spans="1:21" ht="15.6">
      <c r="A196" s="28">
        <v>8025</v>
      </c>
      <c r="B196" s="20" t="s">
        <v>162</v>
      </c>
      <c r="C196" s="32" t="s">
        <v>401</v>
      </c>
      <c r="D196" s="30">
        <v>35</v>
      </c>
      <c r="E196" s="29">
        <v>83</v>
      </c>
      <c r="F196" s="29">
        <v>81.3</v>
      </c>
      <c r="G196" s="29">
        <v>17.399999999999999</v>
      </c>
      <c r="H196" s="29">
        <v>0.4</v>
      </c>
      <c r="I196" s="29">
        <v>0</v>
      </c>
      <c r="J196" s="30"/>
      <c r="K196" s="29">
        <v>0.9</v>
      </c>
      <c r="L196" s="29">
        <v>36</v>
      </c>
      <c r="M196" s="29">
        <v>45</v>
      </c>
      <c r="N196" s="30"/>
      <c r="O196" s="29" t="s">
        <v>180</v>
      </c>
      <c r="P196" s="30"/>
      <c r="Q196" s="30"/>
      <c r="R196" s="29" t="s">
        <v>180</v>
      </c>
      <c r="S196" s="30"/>
      <c r="T196" s="31">
        <v>0</v>
      </c>
      <c r="U196" s="20" t="s">
        <v>162</v>
      </c>
    </row>
    <row r="197" spans="1:21" ht="15.6">
      <c r="A197" s="28">
        <v>8026</v>
      </c>
      <c r="B197" s="20" t="s">
        <v>162</v>
      </c>
      <c r="C197" s="20" t="s">
        <v>402</v>
      </c>
      <c r="D197" s="29">
        <v>35</v>
      </c>
      <c r="E197" s="29">
        <v>166</v>
      </c>
      <c r="F197" s="29">
        <v>70.2</v>
      </c>
      <c r="G197" s="29">
        <v>18.2</v>
      </c>
      <c r="H197" s="29">
        <v>10.3</v>
      </c>
      <c r="I197" s="29">
        <v>0</v>
      </c>
      <c r="J197" s="30"/>
      <c r="K197" s="29">
        <v>1.3</v>
      </c>
      <c r="L197" s="29">
        <v>50</v>
      </c>
      <c r="M197" s="29">
        <v>90</v>
      </c>
      <c r="N197" s="29">
        <v>1.3</v>
      </c>
      <c r="O197" s="29">
        <v>10</v>
      </c>
      <c r="P197" s="30"/>
      <c r="Q197" s="29">
        <v>0.1</v>
      </c>
      <c r="R197" s="29">
        <v>0.2</v>
      </c>
      <c r="S197" s="29">
        <v>6.6</v>
      </c>
      <c r="T197" s="31">
        <v>0</v>
      </c>
      <c r="U197" s="20" t="s">
        <v>162</v>
      </c>
    </row>
    <row r="198" spans="1:21" ht="15.6">
      <c r="A198" s="28">
        <v>8026</v>
      </c>
      <c r="B198" s="20" t="s">
        <v>162</v>
      </c>
      <c r="C198" s="20" t="s">
        <v>403</v>
      </c>
      <c r="D198" s="29">
        <v>35</v>
      </c>
      <c r="E198" s="29">
        <v>166</v>
      </c>
      <c r="F198" s="29">
        <v>70.2</v>
      </c>
      <c r="G198" s="29">
        <v>18.2</v>
      </c>
      <c r="H198" s="29">
        <v>10.3</v>
      </c>
      <c r="I198" s="29">
        <v>0</v>
      </c>
      <c r="J198" s="30"/>
      <c r="K198" s="29">
        <v>1.3</v>
      </c>
      <c r="L198" s="29">
        <v>50</v>
      </c>
      <c r="M198" s="29">
        <v>90</v>
      </c>
      <c r="N198" s="29">
        <v>1.3</v>
      </c>
      <c r="O198" s="29">
        <v>10</v>
      </c>
      <c r="P198" s="30"/>
      <c r="Q198" s="29">
        <v>0.1</v>
      </c>
      <c r="R198" s="29">
        <v>0.2</v>
      </c>
      <c r="S198" s="29">
        <v>6.6</v>
      </c>
      <c r="T198" s="31">
        <v>0</v>
      </c>
      <c r="U198" s="20" t="s">
        <v>162</v>
      </c>
    </row>
    <row r="199" spans="1:21" ht="15.6">
      <c r="A199" s="28">
        <v>8027</v>
      </c>
      <c r="B199" s="20" t="s">
        <v>162</v>
      </c>
      <c r="C199" s="20" t="s">
        <v>404</v>
      </c>
      <c r="D199" s="29">
        <v>30</v>
      </c>
      <c r="E199" s="29">
        <v>186</v>
      </c>
      <c r="F199" s="29">
        <v>70.3</v>
      </c>
      <c r="G199" s="29">
        <v>20</v>
      </c>
      <c r="H199" s="29">
        <v>12.4</v>
      </c>
      <c r="I199" s="29">
        <v>0</v>
      </c>
      <c r="J199" s="30"/>
      <c r="K199" s="29">
        <v>1.3</v>
      </c>
      <c r="L199" s="29">
        <v>22</v>
      </c>
      <c r="M199" s="29">
        <v>190</v>
      </c>
      <c r="N199" s="29">
        <v>3</v>
      </c>
      <c r="O199" s="29">
        <v>35</v>
      </c>
      <c r="P199" s="29">
        <v>0</v>
      </c>
      <c r="Q199" s="29">
        <v>0.1</v>
      </c>
      <c r="R199" s="29">
        <v>0.1</v>
      </c>
      <c r="S199" s="29">
        <v>6</v>
      </c>
      <c r="T199" s="31">
        <v>0</v>
      </c>
      <c r="U199" s="20" t="s">
        <v>162</v>
      </c>
    </row>
    <row r="200" spans="1:21" ht="15.6">
      <c r="A200" s="28">
        <v>8028</v>
      </c>
      <c r="B200" s="20" t="s">
        <v>162</v>
      </c>
      <c r="C200" s="20" t="s">
        <v>405</v>
      </c>
      <c r="D200" s="29">
        <v>26</v>
      </c>
      <c r="E200" s="29">
        <v>110</v>
      </c>
      <c r="F200" s="29">
        <v>74.2</v>
      </c>
      <c r="G200" s="29">
        <v>20.399999999999999</v>
      </c>
      <c r="H200" s="29">
        <v>3.2</v>
      </c>
      <c r="I200" s="29">
        <v>0</v>
      </c>
      <c r="J200" s="30"/>
      <c r="K200" s="29">
        <v>2.2000000000000002</v>
      </c>
      <c r="L200" s="29">
        <v>108.9</v>
      </c>
      <c r="M200" s="29">
        <v>230.5</v>
      </c>
      <c r="N200" s="29">
        <v>0.2</v>
      </c>
      <c r="O200" s="30"/>
      <c r="P200" s="30"/>
      <c r="Q200" s="30"/>
      <c r="R200" s="29" t="s">
        <v>180</v>
      </c>
      <c r="S200" s="30"/>
      <c r="T200" s="31">
        <v>0</v>
      </c>
      <c r="U200" s="20" t="s">
        <v>162</v>
      </c>
    </row>
    <row r="201" spans="1:21" ht="15.6">
      <c r="A201" s="28">
        <v>8029</v>
      </c>
      <c r="B201" s="20" t="s">
        <v>162</v>
      </c>
      <c r="C201" s="20" t="s">
        <v>406</v>
      </c>
      <c r="D201" s="29">
        <v>35</v>
      </c>
      <c r="E201" s="29">
        <v>91</v>
      </c>
      <c r="F201" s="29">
        <v>79.400000000000006</v>
      </c>
      <c r="G201" s="29">
        <v>17</v>
      </c>
      <c r="H201" s="29">
        <v>2.6</v>
      </c>
      <c r="I201" s="29">
        <v>0</v>
      </c>
      <c r="J201" s="30"/>
      <c r="K201" s="29">
        <v>1</v>
      </c>
      <c r="L201" s="29">
        <v>56.6</v>
      </c>
      <c r="M201" s="29">
        <v>145</v>
      </c>
      <c r="N201" s="29">
        <v>0.1</v>
      </c>
      <c r="O201" s="30"/>
      <c r="P201" s="30"/>
      <c r="Q201" s="30"/>
      <c r="R201" s="29" t="s">
        <v>180</v>
      </c>
      <c r="S201" s="30"/>
      <c r="T201" s="31">
        <v>0</v>
      </c>
      <c r="U201" s="20" t="s">
        <v>162</v>
      </c>
    </row>
    <row r="202" spans="1:21" ht="15.6">
      <c r="A202" s="28">
        <v>8030</v>
      </c>
      <c r="B202" s="20" t="s">
        <v>162</v>
      </c>
      <c r="C202" s="20" t="s">
        <v>407</v>
      </c>
      <c r="D202" s="29">
        <v>40</v>
      </c>
      <c r="E202" s="29">
        <v>173</v>
      </c>
      <c r="F202" s="29">
        <v>70.400000000000006</v>
      </c>
      <c r="G202" s="29">
        <v>16.5</v>
      </c>
      <c r="H202" s="29">
        <v>11.9</v>
      </c>
      <c r="I202" s="29">
        <v>0</v>
      </c>
      <c r="J202" s="30"/>
      <c r="K202" s="29">
        <v>1.2</v>
      </c>
      <c r="L202" s="29">
        <v>20</v>
      </c>
      <c r="M202" s="29">
        <v>210</v>
      </c>
      <c r="N202" s="29">
        <v>1</v>
      </c>
      <c r="O202" s="29">
        <v>93.3</v>
      </c>
      <c r="P202" s="30"/>
      <c r="Q202" s="29">
        <v>0.1</v>
      </c>
      <c r="R202" s="29">
        <v>0</v>
      </c>
      <c r="S202" s="29">
        <v>1.4</v>
      </c>
      <c r="T202" s="31">
        <v>0</v>
      </c>
      <c r="U202" s="20" t="s">
        <v>162</v>
      </c>
    </row>
    <row r="203" spans="1:21" ht="15.6">
      <c r="A203" s="28">
        <v>8031</v>
      </c>
      <c r="B203" s="20" t="s">
        <v>162</v>
      </c>
      <c r="C203" s="20" t="s">
        <v>408</v>
      </c>
      <c r="D203" s="29">
        <v>35</v>
      </c>
      <c r="E203" s="29">
        <v>166</v>
      </c>
      <c r="F203" s="29">
        <v>70.5</v>
      </c>
      <c r="G203" s="29">
        <v>17.7</v>
      </c>
      <c r="H203" s="29">
        <v>10.6</v>
      </c>
      <c r="I203" s="29">
        <v>0</v>
      </c>
      <c r="J203" s="30"/>
      <c r="K203" s="29">
        <v>1.2</v>
      </c>
      <c r="L203" s="29">
        <v>64</v>
      </c>
      <c r="M203" s="29">
        <v>174</v>
      </c>
      <c r="N203" s="29">
        <v>2.8</v>
      </c>
      <c r="O203" s="29">
        <v>20</v>
      </c>
      <c r="P203" s="30"/>
      <c r="Q203" s="29">
        <v>0</v>
      </c>
      <c r="R203" s="29">
        <v>0.2</v>
      </c>
      <c r="S203" s="29">
        <v>5</v>
      </c>
      <c r="T203" s="31">
        <v>0</v>
      </c>
      <c r="U203" s="20" t="s">
        <v>162</v>
      </c>
    </row>
    <row r="204" spans="1:21" ht="15.6">
      <c r="A204" s="28">
        <v>8032</v>
      </c>
      <c r="B204" s="20" t="s">
        <v>162</v>
      </c>
      <c r="C204" s="42" t="s">
        <v>409</v>
      </c>
      <c r="D204" s="29">
        <v>27.6</v>
      </c>
      <c r="E204" s="29">
        <v>127</v>
      </c>
      <c r="F204" s="29">
        <v>74.3</v>
      </c>
      <c r="G204" s="29">
        <v>18.8</v>
      </c>
      <c r="H204" s="29">
        <v>5.7</v>
      </c>
      <c r="I204" s="29">
        <v>0</v>
      </c>
      <c r="J204" s="30"/>
      <c r="K204" s="29">
        <v>1.2</v>
      </c>
      <c r="L204" s="29">
        <v>76.2</v>
      </c>
      <c r="M204" s="29">
        <v>184.5</v>
      </c>
      <c r="N204" s="29">
        <v>0.1</v>
      </c>
      <c r="O204" s="30"/>
      <c r="P204" s="30"/>
      <c r="Q204" s="30"/>
      <c r="R204" s="29" t="s">
        <v>180</v>
      </c>
      <c r="S204" s="30"/>
      <c r="T204" s="31">
        <v>0</v>
      </c>
      <c r="U204" s="20" t="s">
        <v>162</v>
      </c>
    </row>
    <row r="205" spans="1:21" ht="15.6">
      <c r="A205" s="36">
        <v>8032</v>
      </c>
      <c r="B205" s="20" t="s">
        <v>162</v>
      </c>
      <c r="C205" s="42" t="s">
        <v>410</v>
      </c>
      <c r="D205" s="37">
        <v>27.6</v>
      </c>
      <c r="E205" s="37">
        <v>127</v>
      </c>
      <c r="F205" s="37">
        <v>74.3</v>
      </c>
      <c r="G205" s="37">
        <v>18.8</v>
      </c>
      <c r="H205" s="37">
        <v>5.7</v>
      </c>
      <c r="I205" s="37">
        <v>0</v>
      </c>
      <c r="J205" s="38"/>
      <c r="K205" s="37">
        <v>1.2</v>
      </c>
      <c r="L205" s="37">
        <v>76.2</v>
      </c>
      <c r="M205" s="37">
        <v>184.5</v>
      </c>
      <c r="N205" s="37">
        <v>0.1</v>
      </c>
      <c r="O205" s="38"/>
      <c r="P205" s="38"/>
      <c r="Q205" s="38"/>
      <c r="R205" s="37" t="s">
        <v>180</v>
      </c>
      <c r="S205" s="38"/>
      <c r="T205" s="39">
        <v>1</v>
      </c>
      <c r="U205" s="20" t="s">
        <v>162</v>
      </c>
    </row>
    <row r="206" spans="1:21" ht="15.6">
      <c r="A206" s="36">
        <v>8032</v>
      </c>
      <c r="B206" s="20" t="s">
        <v>162</v>
      </c>
      <c r="C206" s="42" t="s">
        <v>411</v>
      </c>
      <c r="D206" s="37">
        <f>(D205+D204+D202+D201+D200+D195+D194+D193+D177+D174+D172)/11</f>
        <v>37.6</v>
      </c>
      <c r="E206" s="37">
        <f t="shared" ref="E206:T206" si="4">(E205+E204+E202+E201+E200+E195+E194+E193+E177+E174+E172)/11</f>
        <v>109.45454545454545</v>
      </c>
      <c r="F206" s="37">
        <f t="shared" si="4"/>
        <v>76.5</v>
      </c>
      <c r="G206" s="37">
        <f t="shared" si="4"/>
        <v>18</v>
      </c>
      <c r="H206" s="37">
        <f t="shared" si="4"/>
        <v>4.163636363636364</v>
      </c>
      <c r="I206" s="37">
        <f t="shared" si="4"/>
        <v>0</v>
      </c>
      <c r="J206" s="37">
        <f t="shared" si="4"/>
        <v>0</v>
      </c>
      <c r="K206" s="37">
        <f t="shared" si="4"/>
        <v>1.3363636363636362</v>
      </c>
      <c r="L206" s="37">
        <f t="shared" si="4"/>
        <v>55.272727272727273</v>
      </c>
      <c r="M206" s="37">
        <f t="shared" si="4"/>
        <v>182.74545454545455</v>
      </c>
      <c r="N206" s="37">
        <f t="shared" si="4"/>
        <v>0.44545454545454538</v>
      </c>
      <c r="O206" s="37"/>
      <c r="P206" s="37">
        <f t="shared" si="4"/>
        <v>0</v>
      </c>
      <c r="Q206" s="37">
        <f t="shared" si="4"/>
        <v>9.0909090909090922E-3</v>
      </c>
      <c r="R206" s="37"/>
      <c r="S206" s="37">
        <f t="shared" si="4"/>
        <v>0.76363636363636356</v>
      </c>
      <c r="T206" s="37">
        <f t="shared" si="4"/>
        <v>9.0909090909090912E-2</v>
      </c>
      <c r="U206" s="20" t="s">
        <v>162</v>
      </c>
    </row>
    <row r="207" spans="1:21" ht="15.6">
      <c r="A207" s="36">
        <v>8032</v>
      </c>
      <c r="B207" s="20" t="s">
        <v>162</v>
      </c>
      <c r="C207" s="42" t="s">
        <v>35</v>
      </c>
      <c r="D207" s="37">
        <f>(D199+D198+D197+D196+D192+D191+D188+D187+D186+D182+D181+D180+D179+D178+D175)/15</f>
        <v>28.466666666666665</v>
      </c>
      <c r="E207" s="37">
        <f t="shared" ref="E207:T207" si="5">(E199+E198+E197+E196+E192+E191+E188+E187+E186+E182+E181+E180+E179+E178+E175)/15</f>
        <v>122.73333333333333</v>
      </c>
      <c r="F207" s="37">
        <f t="shared" si="5"/>
        <v>74.85333333333331</v>
      </c>
      <c r="G207" s="37">
        <f t="shared" si="5"/>
        <v>18.833333333333336</v>
      </c>
      <c r="H207" s="37">
        <f t="shared" si="5"/>
        <v>5.2266666666666657</v>
      </c>
      <c r="I207" s="37">
        <f t="shared" si="5"/>
        <v>0</v>
      </c>
      <c r="J207" s="37">
        <f t="shared" si="5"/>
        <v>0</v>
      </c>
      <c r="K207" s="37">
        <f t="shared" si="5"/>
        <v>1.3533333333333333</v>
      </c>
      <c r="L207" s="37">
        <f t="shared" si="5"/>
        <v>51.266666666666666</v>
      </c>
      <c r="M207" s="37">
        <f t="shared" si="5"/>
        <v>129.6</v>
      </c>
      <c r="N207" s="37">
        <f t="shared" si="5"/>
        <v>0.80666666666666664</v>
      </c>
      <c r="O207" s="37"/>
      <c r="P207" s="37">
        <f t="shared" si="5"/>
        <v>0</v>
      </c>
      <c r="Q207" s="37">
        <f t="shared" si="5"/>
        <v>4.6666666666666669E-2</v>
      </c>
      <c r="R207" s="37"/>
      <c r="S207" s="37">
        <f t="shared" si="5"/>
        <v>2.9066666666666667</v>
      </c>
      <c r="T207" s="37">
        <f t="shared" si="5"/>
        <v>0</v>
      </c>
      <c r="U207" s="20" t="s">
        <v>162</v>
      </c>
    </row>
    <row r="208" spans="1:21" ht="15.6">
      <c r="A208" s="28">
        <v>8034</v>
      </c>
      <c r="B208" s="20" t="s">
        <v>162</v>
      </c>
      <c r="C208" s="20" t="s">
        <v>412</v>
      </c>
      <c r="D208" s="29">
        <v>50</v>
      </c>
      <c r="E208" s="29">
        <v>87</v>
      </c>
      <c r="F208" s="29">
        <v>74.400000000000006</v>
      </c>
      <c r="G208" s="29">
        <v>12.3</v>
      </c>
      <c r="H208" s="29">
        <v>3.3</v>
      </c>
      <c r="I208" s="29">
        <v>2</v>
      </c>
      <c r="J208" s="30"/>
      <c r="K208" s="29">
        <v>8</v>
      </c>
      <c r="L208" s="29" t="s">
        <v>217</v>
      </c>
      <c r="M208" s="29">
        <v>430</v>
      </c>
      <c r="N208" s="29">
        <v>4.7</v>
      </c>
      <c r="O208" s="30"/>
      <c r="P208" s="30"/>
      <c r="Q208" s="29">
        <v>0</v>
      </c>
      <c r="R208" s="29">
        <v>0.5</v>
      </c>
      <c r="S208" s="29">
        <v>2.1</v>
      </c>
      <c r="T208" s="31">
        <v>0</v>
      </c>
      <c r="U208" s="20" t="s">
        <v>162</v>
      </c>
    </row>
    <row r="209" spans="1:21" ht="15.6">
      <c r="A209" s="28">
        <v>8037</v>
      </c>
      <c r="B209" s="20" t="s">
        <v>162</v>
      </c>
      <c r="C209" s="20" t="s">
        <v>413</v>
      </c>
      <c r="D209" s="29">
        <v>82</v>
      </c>
      <c r="E209" s="29">
        <v>45</v>
      </c>
      <c r="F209" s="29">
        <v>88.8</v>
      </c>
      <c r="G209" s="29">
        <v>4.5</v>
      </c>
      <c r="H209" s="29">
        <v>0.7</v>
      </c>
      <c r="I209" s="29">
        <v>5.0999999999999996</v>
      </c>
      <c r="J209" s="30"/>
      <c r="K209" s="29">
        <v>0.9</v>
      </c>
      <c r="L209" s="29">
        <v>144</v>
      </c>
      <c r="M209" s="29">
        <v>86</v>
      </c>
      <c r="N209" s="29">
        <v>1.6</v>
      </c>
      <c r="O209" s="30"/>
      <c r="P209" s="30"/>
      <c r="Q209" s="30"/>
      <c r="R209" s="29">
        <v>0.1</v>
      </c>
      <c r="S209" s="29">
        <v>2.2999999999999998</v>
      </c>
      <c r="T209" s="31">
        <v>0</v>
      </c>
      <c r="U209" s="20" t="s">
        <v>162</v>
      </c>
    </row>
    <row r="210" spans="1:21" ht="15.6">
      <c r="A210" s="28">
        <v>8038</v>
      </c>
      <c r="B210" s="20" t="s">
        <v>162</v>
      </c>
      <c r="C210" s="21" t="s">
        <v>39</v>
      </c>
      <c r="D210" s="29">
        <v>35</v>
      </c>
      <c r="E210" s="29">
        <v>94</v>
      </c>
      <c r="F210" s="29">
        <v>77.400000000000006</v>
      </c>
      <c r="G210" s="29">
        <v>20</v>
      </c>
      <c r="H210" s="29">
        <v>1.5</v>
      </c>
      <c r="I210" s="29">
        <v>0</v>
      </c>
      <c r="J210" s="30"/>
      <c r="K210" s="29">
        <v>1.1000000000000001</v>
      </c>
      <c r="L210" s="29">
        <v>35</v>
      </c>
      <c r="M210" s="29">
        <v>164</v>
      </c>
      <c r="N210" s="29">
        <v>1</v>
      </c>
      <c r="O210" s="29"/>
      <c r="P210" s="30"/>
      <c r="Q210" s="29">
        <v>0.2</v>
      </c>
      <c r="R210" s="29">
        <v>0.3</v>
      </c>
      <c r="S210" s="29">
        <v>3.8</v>
      </c>
      <c r="T210" s="31">
        <v>0</v>
      </c>
      <c r="U210" s="20" t="s">
        <v>162</v>
      </c>
    </row>
    <row r="211" spans="1:21" ht="15.6">
      <c r="A211" s="28">
        <v>8041</v>
      </c>
      <c r="B211" s="20" t="s">
        <v>162</v>
      </c>
      <c r="C211" s="20" t="s">
        <v>414</v>
      </c>
      <c r="D211" s="29">
        <v>67</v>
      </c>
      <c r="E211" s="29">
        <v>84</v>
      </c>
      <c r="F211" s="29">
        <v>76.8</v>
      </c>
      <c r="G211" s="29">
        <v>11.1</v>
      </c>
      <c r="H211" s="29">
        <v>0.7</v>
      </c>
      <c r="I211" s="29">
        <v>8.3000000000000007</v>
      </c>
      <c r="J211" s="30"/>
      <c r="K211" s="29">
        <v>3.1</v>
      </c>
      <c r="L211" s="29" t="s">
        <v>415</v>
      </c>
      <c r="M211" s="29">
        <v>64</v>
      </c>
      <c r="N211" s="30"/>
      <c r="O211" s="29" t="s">
        <v>180</v>
      </c>
      <c r="P211" s="30"/>
      <c r="Q211" s="30"/>
      <c r="R211" s="29" t="s">
        <v>180</v>
      </c>
      <c r="S211" s="30"/>
      <c r="T211" s="31">
        <v>0</v>
      </c>
      <c r="U211" s="20" t="s">
        <v>162</v>
      </c>
    </row>
    <row r="212" spans="1:21" ht="15.6">
      <c r="A212" s="28">
        <v>8042</v>
      </c>
      <c r="B212" s="20" t="s">
        <v>162</v>
      </c>
      <c r="C212" s="20" t="s">
        <v>416</v>
      </c>
      <c r="D212" s="29">
        <v>80</v>
      </c>
      <c r="E212" s="29">
        <v>63</v>
      </c>
      <c r="F212" s="29">
        <v>80.3</v>
      </c>
      <c r="G212" s="29">
        <v>11.2</v>
      </c>
      <c r="H212" s="29">
        <v>0.3</v>
      </c>
      <c r="I212" s="29">
        <v>3.9</v>
      </c>
      <c r="J212" s="30"/>
      <c r="K212" s="29">
        <v>4.3</v>
      </c>
      <c r="L212" s="29" t="s">
        <v>417</v>
      </c>
      <c r="M212" s="29">
        <v>83</v>
      </c>
      <c r="N212" s="30"/>
      <c r="O212" s="29" t="s">
        <v>180</v>
      </c>
      <c r="P212" s="30"/>
      <c r="Q212" s="30"/>
      <c r="R212" s="29" t="s">
        <v>180</v>
      </c>
      <c r="S212" s="30"/>
      <c r="T212" s="31">
        <v>0</v>
      </c>
      <c r="U212" s="20" t="s">
        <v>162</v>
      </c>
    </row>
    <row r="213" spans="1:21" ht="15.6">
      <c r="A213" s="28">
        <v>8043</v>
      </c>
      <c r="B213" s="20" t="s">
        <v>162</v>
      </c>
      <c r="C213" s="20" t="s">
        <v>418</v>
      </c>
      <c r="D213" s="29">
        <v>79</v>
      </c>
      <c r="E213" s="29">
        <v>84</v>
      </c>
      <c r="F213" s="29">
        <v>77.599999999999994</v>
      </c>
      <c r="G213" s="29">
        <v>11.9</v>
      </c>
      <c r="H213" s="29">
        <v>0.7</v>
      </c>
      <c r="I213" s="29">
        <v>7.6</v>
      </c>
      <c r="J213" s="30"/>
      <c r="K213" s="29">
        <v>2.2000000000000002</v>
      </c>
      <c r="L213" s="29" t="s">
        <v>419</v>
      </c>
      <c r="M213" s="29">
        <v>191</v>
      </c>
      <c r="N213" s="30"/>
      <c r="O213" s="29" t="s">
        <v>180</v>
      </c>
      <c r="P213" s="30"/>
      <c r="Q213" s="29">
        <v>0.1</v>
      </c>
      <c r="R213" s="29">
        <v>0.2</v>
      </c>
      <c r="S213" s="29">
        <v>2.2000000000000002</v>
      </c>
      <c r="T213" s="31">
        <v>0</v>
      </c>
      <c r="U213" s="20" t="s">
        <v>162</v>
      </c>
    </row>
    <row r="214" spans="1:21" ht="15.6">
      <c r="A214" s="28">
        <v>8048</v>
      </c>
      <c r="B214" s="20" t="s">
        <v>162</v>
      </c>
      <c r="C214" s="20" t="s">
        <v>420</v>
      </c>
      <c r="D214" s="29">
        <v>80</v>
      </c>
      <c r="E214" s="29">
        <v>51</v>
      </c>
      <c r="F214" s="29">
        <v>83.8</v>
      </c>
      <c r="G214" s="29">
        <v>8.8000000000000007</v>
      </c>
      <c r="H214" s="29">
        <v>0.4</v>
      </c>
      <c r="I214" s="29">
        <v>3</v>
      </c>
      <c r="J214" s="30"/>
      <c r="K214" s="29">
        <v>4</v>
      </c>
      <c r="L214" s="29">
        <v>37</v>
      </c>
      <c r="M214" s="29">
        <v>82</v>
      </c>
      <c r="N214" s="29">
        <v>1.9</v>
      </c>
      <c r="O214" s="29">
        <v>52.5</v>
      </c>
      <c r="P214" s="30"/>
      <c r="Q214" s="29">
        <v>0</v>
      </c>
      <c r="R214" s="29">
        <v>0.2</v>
      </c>
      <c r="S214" s="29">
        <v>1.7</v>
      </c>
      <c r="T214" s="31">
        <v>0</v>
      </c>
      <c r="U214" s="20" t="s">
        <v>162</v>
      </c>
    </row>
    <row r="215" spans="1:21" ht="15.6">
      <c r="A215" s="28">
        <v>8049</v>
      </c>
      <c r="B215" s="20" t="s">
        <v>162</v>
      </c>
      <c r="C215" s="20" t="s">
        <v>421</v>
      </c>
      <c r="D215" s="29">
        <v>8</v>
      </c>
      <c r="E215" s="29">
        <v>58</v>
      </c>
      <c r="F215" s="29">
        <v>84.5</v>
      </c>
      <c r="G215" s="29">
        <v>11.7</v>
      </c>
      <c r="H215" s="29">
        <v>1.2</v>
      </c>
      <c r="I215" s="30"/>
      <c r="J215" s="29" t="s">
        <v>180</v>
      </c>
      <c r="K215" s="29">
        <v>2.6</v>
      </c>
      <c r="L215" s="29">
        <v>910</v>
      </c>
      <c r="M215" s="29">
        <v>218</v>
      </c>
      <c r="N215" s="30"/>
      <c r="O215" s="29" t="s">
        <v>180</v>
      </c>
      <c r="P215" s="30"/>
      <c r="Q215" s="30"/>
      <c r="R215" s="29" t="s">
        <v>180</v>
      </c>
      <c r="S215" s="30"/>
      <c r="T215" s="31">
        <v>0</v>
      </c>
      <c r="U215" s="20" t="s">
        <v>162</v>
      </c>
    </row>
    <row r="216" spans="1:21" ht="15.6">
      <c r="A216" s="28">
        <v>8050</v>
      </c>
      <c r="B216" s="20" t="s">
        <v>162</v>
      </c>
      <c r="C216" s="42" t="s">
        <v>422</v>
      </c>
      <c r="D216" s="29">
        <v>5</v>
      </c>
      <c r="E216" s="29">
        <v>269</v>
      </c>
      <c r="F216" s="29">
        <v>23</v>
      </c>
      <c r="G216" s="29">
        <v>59.8</v>
      </c>
      <c r="H216" s="29">
        <v>3</v>
      </c>
      <c r="I216" s="29">
        <v>0.7</v>
      </c>
      <c r="J216" s="30"/>
      <c r="K216" s="29">
        <v>13.5</v>
      </c>
      <c r="L216" s="29" t="s">
        <v>423</v>
      </c>
      <c r="M216" s="29">
        <v>605</v>
      </c>
      <c r="N216" s="29">
        <v>5.5</v>
      </c>
      <c r="O216" s="30"/>
      <c r="P216" s="30"/>
      <c r="Q216" s="29">
        <v>0</v>
      </c>
      <c r="R216" s="29">
        <v>0.1</v>
      </c>
      <c r="S216" s="29">
        <v>2.5</v>
      </c>
      <c r="T216" s="31">
        <v>0</v>
      </c>
      <c r="U216" s="20" t="s">
        <v>162</v>
      </c>
    </row>
    <row r="217" spans="1:21" ht="15.6">
      <c r="A217" s="28">
        <v>8051</v>
      </c>
      <c r="B217" s="20" t="s">
        <v>162</v>
      </c>
      <c r="C217" s="20" t="s">
        <v>424</v>
      </c>
      <c r="D217" s="30">
        <v>30</v>
      </c>
      <c r="E217" s="29">
        <v>82</v>
      </c>
      <c r="F217" s="29">
        <v>79.2</v>
      </c>
      <c r="G217" s="29">
        <v>17.600000000000001</v>
      </c>
      <c r="H217" s="29">
        <v>0.9</v>
      </c>
      <c r="I217" s="29">
        <v>0.9</v>
      </c>
      <c r="J217" s="30"/>
      <c r="K217" s="29">
        <v>1.4</v>
      </c>
      <c r="L217" s="29">
        <v>79</v>
      </c>
      <c r="M217" s="29">
        <v>184</v>
      </c>
      <c r="N217" s="29">
        <v>1.6</v>
      </c>
      <c r="O217" s="29">
        <v>20</v>
      </c>
      <c r="P217" s="29">
        <v>5</v>
      </c>
      <c r="Q217" s="29">
        <v>0</v>
      </c>
      <c r="R217" s="29">
        <v>0.1</v>
      </c>
      <c r="S217" s="29">
        <v>2.2999999999999998</v>
      </c>
      <c r="T217" s="31">
        <v>0</v>
      </c>
      <c r="U217" s="20" t="s">
        <v>162</v>
      </c>
    </row>
    <row r="218" spans="1:21" ht="15.6">
      <c r="A218" s="28">
        <v>8052</v>
      </c>
      <c r="B218" s="20" t="s">
        <v>162</v>
      </c>
      <c r="C218" s="20" t="s">
        <v>425</v>
      </c>
      <c r="D218" s="29">
        <v>10</v>
      </c>
      <c r="E218" s="29">
        <v>90</v>
      </c>
      <c r="F218" s="29">
        <v>76.900000000000006</v>
      </c>
      <c r="G218" s="29">
        <v>18.399999999999999</v>
      </c>
      <c r="H218" s="29">
        <v>1.8</v>
      </c>
      <c r="I218" s="30"/>
      <c r="J218" s="29" t="s">
        <v>180</v>
      </c>
      <c r="K218" s="29">
        <v>2.9</v>
      </c>
      <c r="L218" s="29" t="s">
        <v>426</v>
      </c>
      <c r="M218" s="29">
        <v>150</v>
      </c>
      <c r="N218" s="29">
        <v>2.2000000000000002</v>
      </c>
      <c r="O218" s="29">
        <v>15</v>
      </c>
      <c r="P218" s="30"/>
      <c r="Q218" s="29">
        <v>0</v>
      </c>
      <c r="R218" s="29">
        <v>0</v>
      </c>
      <c r="S218" s="29">
        <v>3.2</v>
      </c>
      <c r="T218" s="31">
        <v>0</v>
      </c>
      <c r="U218" s="20" t="s">
        <v>162</v>
      </c>
    </row>
    <row r="219" spans="1:21" ht="15.6">
      <c r="A219" s="28">
        <v>8053</v>
      </c>
      <c r="B219" s="20" t="s">
        <v>162</v>
      </c>
      <c r="C219" s="20" t="s">
        <v>427</v>
      </c>
      <c r="D219" s="29">
        <v>5</v>
      </c>
      <c r="E219" s="29">
        <v>347</v>
      </c>
      <c r="F219" s="29">
        <v>12.6</v>
      </c>
      <c r="G219" s="29">
        <v>75.599999999999994</v>
      </c>
      <c r="H219" s="29">
        <v>3.8</v>
      </c>
      <c r="I219" s="29">
        <v>2.5</v>
      </c>
      <c r="J219" s="30"/>
      <c r="K219" s="29">
        <v>5.5</v>
      </c>
      <c r="L219" s="29">
        <v>236</v>
      </c>
      <c r="M219" s="29">
        <v>995</v>
      </c>
      <c r="N219" s="29">
        <v>4.5999999999999996</v>
      </c>
      <c r="O219" s="30"/>
      <c r="P219" s="30"/>
      <c r="Q219" s="29">
        <v>0.2</v>
      </c>
      <c r="R219" s="29">
        <v>0.3</v>
      </c>
      <c r="S219" s="29">
        <v>9.5</v>
      </c>
      <c r="T219" s="31">
        <v>0</v>
      </c>
      <c r="U219" s="20" t="s">
        <v>162</v>
      </c>
    </row>
    <row r="220" spans="1:21" ht="15.6">
      <c r="A220" s="28">
        <v>8054</v>
      </c>
      <c r="B220" s="20" t="s">
        <v>162</v>
      </c>
      <c r="C220" s="20" t="s">
        <v>428</v>
      </c>
      <c r="D220" s="29">
        <v>60</v>
      </c>
      <c r="E220" s="29">
        <v>38</v>
      </c>
      <c r="F220" s="29">
        <v>89.9</v>
      </c>
      <c r="G220" s="29">
        <v>4.5999999999999996</v>
      </c>
      <c r="H220" s="29">
        <v>1.1000000000000001</v>
      </c>
      <c r="I220" s="29">
        <v>2.5</v>
      </c>
      <c r="J220" s="30"/>
      <c r="K220" s="29">
        <v>1.9</v>
      </c>
      <c r="L220" s="29">
        <v>668</v>
      </c>
      <c r="M220" s="29">
        <v>107</v>
      </c>
      <c r="N220" s="29">
        <v>1.5</v>
      </c>
      <c r="O220" s="29">
        <v>6.7</v>
      </c>
      <c r="P220" s="30"/>
      <c r="Q220" s="29">
        <v>0</v>
      </c>
      <c r="R220" s="29">
        <v>0.5</v>
      </c>
      <c r="S220" s="29">
        <v>3.1</v>
      </c>
      <c r="T220" s="31">
        <v>0</v>
      </c>
      <c r="U220" s="20" t="s">
        <v>162</v>
      </c>
    </row>
    <row r="221" spans="1:21" ht="15.6">
      <c r="A221" s="28">
        <v>9001</v>
      </c>
      <c r="B221" s="20" t="s">
        <v>429</v>
      </c>
      <c r="C221" s="20" t="s">
        <v>430</v>
      </c>
      <c r="D221" s="29">
        <v>14</v>
      </c>
      <c r="E221" s="29">
        <v>166</v>
      </c>
      <c r="F221" s="29">
        <v>72</v>
      </c>
      <c r="G221" s="29">
        <v>14.8</v>
      </c>
      <c r="H221" s="29">
        <v>11.6</v>
      </c>
      <c r="I221" s="29">
        <v>0.5</v>
      </c>
      <c r="J221" s="30"/>
      <c r="K221" s="29">
        <v>1.1000000000000001</v>
      </c>
      <c r="L221" s="29">
        <v>55</v>
      </c>
      <c r="M221" s="29">
        <v>210</v>
      </c>
      <c r="N221" s="29">
        <v>2.7</v>
      </c>
      <c r="O221" s="29">
        <v>700</v>
      </c>
      <c r="P221" s="29">
        <v>281</v>
      </c>
      <c r="Q221" s="29">
        <v>0.2</v>
      </c>
      <c r="R221" s="29">
        <v>0.3</v>
      </c>
      <c r="S221" s="29">
        <v>0.2</v>
      </c>
      <c r="T221" s="33"/>
      <c r="U221" s="20" t="s">
        <v>429</v>
      </c>
    </row>
    <row r="222" spans="1:21" ht="15.6">
      <c r="A222" s="28">
        <v>9004</v>
      </c>
      <c r="B222" s="20" t="s">
        <v>429</v>
      </c>
      <c r="C222" s="42" t="s">
        <v>431</v>
      </c>
      <c r="D222" s="29">
        <v>12</v>
      </c>
      <c r="E222" s="29">
        <v>484</v>
      </c>
      <c r="F222" s="29">
        <v>70</v>
      </c>
      <c r="G222" s="29">
        <v>13</v>
      </c>
      <c r="H222" s="29">
        <v>14.2</v>
      </c>
      <c r="I222" s="29">
        <v>1</v>
      </c>
      <c r="J222" s="30"/>
      <c r="K222" s="29">
        <v>1.8</v>
      </c>
      <c r="L222" s="29">
        <v>71</v>
      </c>
      <c r="M222" s="29">
        <v>210</v>
      </c>
      <c r="N222" s="29">
        <v>3.2</v>
      </c>
      <c r="O222" s="29">
        <v>360</v>
      </c>
      <c r="P222" s="29">
        <v>185</v>
      </c>
      <c r="Q222" s="29">
        <v>0.2</v>
      </c>
      <c r="R222" s="29">
        <v>0.3</v>
      </c>
      <c r="S222" s="29">
        <v>0.1</v>
      </c>
      <c r="T222" s="33"/>
      <c r="U222" s="20" t="s">
        <v>429</v>
      </c>
    </row>
    <row r="223" spans="1:21" ht="15.6">
      <c r="A223" s="28">
        <v>9008</v>
      </c>
      <c r="B223" s="20" t="s">
        <v>429</v>
      </c>
      <c r="C223" s="42" t="s">
        <v>432</v>
      </c>
      <c r="D223" s="29">
        <v>12</v>
      </c>
      <c r="E223" s="29">
        <v>182</v>
      </c>
      <c r="F223" s="29">
        <v>67</v>
      </c>
      <c r="G223" s="29">
        <v>13.6</v>
      </c>
      <c r="H223" s="29">
        <v>12.4</v>
      </c>
      <c r="I223" s="29">
        <v>4</v>
      </c>
      <c r="J223" s="30"/>
      <c r="K223" s="29">
        <v>3</v>
      </c>
      <c r="L223" s="29">
        <v>82</v>
      </c>
      <c r="M223" s="29">
        <v>212</v>
      </c>
      <c r="N223" s="29">
        <v>3</v>
      </c>
      <c r="O223" s="29">
        <v>875</v>
      </c>
      <c r="P223" s="29">
        <v>435</v>
      </c>
      <c r="Q223" s="29">
        <v>0.1</v>
      </c>
      <c r="R223" s="29">
        <v>0.3</v>
      </c>
      <c r="S223" s="29">
        <v>0.8</v>
      </c>
      <c r="T223" s="31">
        <v>3</v>
      </c>
      <c r="U223" s="20" t="s">
        <v>429</v>
      </c>
    </row>
    <row r="224" spans="1:21" ht="15.6">
      <c r="A224" s="28">
        <v>10004</v>
      </c>
      <c r="B224" s="20" t="s">
        <v>173</v>
      </c>
      <c r="C224" s="20" t="s">
        <v>433</v>
      </c>
      <c r="D224" s="29">
        <v>0</v>
      </c>
      <c r="E224" s="29">
        <v>61</v>
      </c>
      <c r="F224" s="29">
        <v>88.7</v>
      </c>
      <c r="G224" s="29">
        <v>3.3</v>
      </c>
      <c r="H224" s="29">
        <v>3.7</v>
      </c>
      <c r="I224" s="29">
        <v>3.6</v>
      </c>
      <c r="J224" s="30"/>
      <c r="K224" s="29">
        <v>0.7</v>
      </c>
      <c r="L224" s="29">
        <v>120</v>
      </c>
      <c r="M224" s="29">
        <v>95</v>
      </c>
      <c r="N224" s="29">
        <v>0.1</v>
      </c>
      <c r="O224" s="29">
        <v>25</v>
      </c>
      <c r="P224" s="29">
        <v>11</v>
      </c>
      <c r="Q224" s="29">
        <v>0</v>
      </c>
      <c r="R224" s="29">
        <v>0.2</v>
      </c>
      <c r="S224" s="29">
        <v>0.1</v>
      </c>
      <c r="T224" s="31">
        <v>0.7</v>
      </c>
      <c r="U224" s="20" t="s">
        <v>173</v>
      </c>
    </row>
    <row r="225" spans="1:21" ht="15.6">
      <c r="A225" s="28">
        <v>10008</v>
      </c>
      <c r="B225" s="20" t="s">
        <v>173</v>
      </c>
      <c r="C225" s="20" t="s">
        <v>434</v>
      </c>
      <c r="D225" s="29">
        <v>0</v>
      </c>
      <c r="E225" s="29">
        <v>336</v>
      </c>
      <c r="F225" s="29">
        <v>25.4</v>
      </c>
      <c r="G225" s="29">
        <v>8.1</v>
      </c>
      <c r="H225" s="29">
        <v>8.8000000000000007</v>
      </c>
      <c r="I225" s="29">
        <v>56</v>
      </c>
      <c r="J225" s="30"/>
      <c r="K225" s="29">
        <v>1.7</v>
      </c>
      <c r="L225" s="29">
        <v>307</v>
      </c>
      <c r="M225" s="29">
        <v>219</v>
      </c>
      <c r="N225" s="29">
        <v>0.6</v>
      </c>
      <c r="O225" s="29">
        <v>58</v>
      </c>
      <c r="P225" s="29">
        <v>50</v>
      </c>
      <c r="Q225" s="29">
        <v>0.1</v>
      </c>
      <c r="R225" s="29">
        <v>0.3</v>
      </c>
      <c r="S225" s="29">
        <v>0.2</v>
      </c>
      <c r="T225" s="31">
        <v>0</v>
      </c>
      <c r="U225" s="20" t="s">
        <v>173</v>
      </c>
    </row>
    <row r="226" spans="1:21" ht="15.6">
      <c r="A226" s="28">
        <v>11015</v>
      </c>
      <c r="B226" s="20" t="s">
        <v>175</v>
      </c>
      <c r="C226" s="20" t="s">
        <v>435</v>
      </c>
      <c r="D226" s="29">
        <v>0</v>
      </c>
      <c r="E226" s="30">
        <v>207</v>
      </c>
      <c r="F226" s="29">
        <v>57.5</v>
      </c>
      <c r="G226" s="29">
        <v>24.8</v>
      </c>
      <c r="H226" s="29">
        <v>12</v>
      </c>
      <c r="I226" s="29">
        <v>0</v>
      </c>
      <c r="J226" s="29" t="s">
        <v>180</v>
      </c>
      <c r="K226" s="29">
        <v>5.7</v>
      </c>
      <c r="L226" s="29">
        <v>50</v>
      </c>
      <c r="M226" s="29">
        <v>260</v>
      </c>
      <c r="N226" s="29">
        <v>1.6</v>
      </c>
      <c r="O226" s="30"/>
      <c r="P226" s="30"/>
      <c r="Q226" s="29">
        <v>0</v>
      </c>
      <c r="R226" s="29">
        <v>0.1</v>
      </c>
      <c r="S226" s="29">
        <v>6.5</v>
      </c>
      <c r="T226" s="33"/>
      <c r="U226" s="20" t="s">
        <v>175</v>
      </c>
    </row>
    <row r="227" spans="1:21" ht="15.6">
      <c r="A227" s="28">
        <v>11016</v>
      </c>
      <c r="B227" s="20" t="s">
        <v>175</v>
      </c>
      <c r="C227" s="20" t="s">
        <v>436</v>
      </c>
      <c r="D227" s="29">
        <v>0</v>
      </c>
      <c r="E227" s="30">
        <v>233</v>
      </c>
      <c r="F227" s="29">
        <v>56.7</v>
      </c>
      <c r="G227" s="29">
        <v>22.3</v>
      </c>
      <c r="H227" s="29">
        <v>14.4</v>
      </c>
      <c r="I227" s="29">
        <v>3.5</v>
      </c>
      <c r="J227" s="29" t="s">
        <v>180</v>
      </c>
      <c r="K227" s="29">
        <v>3.1</v>
      </c>
      <c r="L227" s="29">
        <v>86</v>
      </c>
      <c r="M227" s="29">
        <v>437</v>
      </c>
      <c r="N227" s="29">
        <v>2.2999999999999998</v>
      </c>
      <c r="O227" s="29">
        <v>28</v>
      </c>
      <c r="P227" s="30"/>
      <c r="Q227" s="29">
        <v>0</v>
      </c>
      <c r="R227" s="29">
        <v>0.1</v>
      </c>
      <c r="S227" s="29">
        <v>2.5</v>
      </c>
      <c r="T227" s="33"/>
      <c r="U227" s="20" t="s">
        <v>175</v>
      </c>
    </row>
    <row r="228" spans="1:21" ht="15.6">
      <c r="A228" s="28">
        <v>11017</v>
      </c>
      <c r="B228" s="20" t="s">
        <v>175</v>
      </c>
      <c r="C228" s="20" t="s">
        <v>437</v>
      </c>
      <c r="D228" s="29">
        <v>0</v>
      </c>
      <c r="E228" s="30">
        <v>251</v>
      </c>
      <c r="F228" s="29">
        <v>61.4</v>
      </c>
      <c r="G228" s="29">
        <v>16.399999999999999</v>
      </c>
      <c r="H228" s="29">
        <v>20.6</v>
      </c>
      <c r="I228" s="29">
        <v>0</v>
      </c>
      <c r="J228" s="29" t="s">
        <v>180</v>
      </c>
      <c r="K228" s="29">
        <v>1.6</v>
      </c>
      <c r="L228" s="29">
        <v>13</v>
      </c>
      <c r="M228" s="29">
        <v>250</v>
      </c>
      <c r="N228" s="29">
        <v>2.9</v>
      </c>
      <c r="O228" s="29" t="s">
        <v>180</v>
      </c>
      <c r="P228" s="30"/>
      <c r="Q228" s="29" t="s">
        <v>180</v>
      </c>
      <c r="R228" s="29">
        <v>0.2</v>
      </c>
      <c r="S228" s="29">
        <v>2.5</v>
      </c>
      <c r="T228" s="33"/>
      <c r="U228" s="20" t="s">
        <v>175</v>
      </c>
    </row>
    <row r="229" spans="1:21" ht="15.6">
      <c r="A229" s="28">
        <v>11018</v>
      </c>
      <c r="B229" s="20" t="s">
        <v>175</v>
      </c>
      <c r="C229" s="20" t="s">
        <v>438</v>
      </c>
      <c r="D229" s="29">
        <v>0</v>
      </c>
      <c r="E229" s="30">
        <v>273</v>
      </c>
      <c r="F229" s="29">
        <v>59</v>
      </c>
      <c r="G229" s="29">
        <v>17</v>
      </c>
      <c r="H229" s="29">
        <v>22.8</v>
      </c>
      <c r="I229" s="29">
        <v>0</v>
      </c>
      <c r="J229" s="29" t="s">
        <v>180</v>
      </c>
      <c r="K229" s="29">
        <v>1.2</v>
      </c>
      <c r="L229" s="29">
        <v>108</v>
      </c>
      <c r="M229" s="29">
        <v>138</v>
      </c>
      <c r="N229" s="29">
        <v>2.8</v>
      </c>
      <c r="O229" s="29">
        <v>520</v>
      </c>
      <c r="P229" s="30"/>
      <c r="Q229" s="29">
        <v>0.1</v>
      </c>
      <c r="R229" s="29">
        <v>0.4</v>
      </c>
      <c r="S229" s="29">
        <v>2.4</v>
      </c>
      <c r="T229" s="33"/>
      <c r="U229" s="20" t="s">
        <v>175</v>
      </c>
    </row>
    <row r="230" spans="1:21" ht="15.6">
      <c r="A230" s="28">
        <v>11019</v>
      </c>
      <c r="B230" s="20" t="s">
        <v>175</v>
      </c>
      <c r="C230" s="20" t="s">
        <v>439</v>
      </c>
      <c r="D230" s="29">
        <v>0</v>
      </c>
      <c r="E230" s="30">
        <v>344</v>
      </c>
      <c r="F230" s="29">
        <v>49</v>
      </c>
      <c r="G230" s="29">
        <v>17.3</v>
      </c>
      <c r="H230" s="29">
        <v>29.3</v>
      </c>
      <c r="I230" s="29">
        <v>2.7</v>
      </c>
      <c r="J230" s="29" t="s">
        <v>180</v>
      </c>
      <c r="K230" s="29">
        <v>1.7</v>
      </c>
      <c r="L230" s="29">
        <v>9</v>
      </c>
      <c r="M230" s="29">
        <v>200</v>
      </c>
      <c r="N230" s="29">
        <v>1.2</v>
      </c>
      <c r="O230" s="29" t="s">
        <v>180</v>
      </c>
      <c r="P230" s="30"/>
      <c r="Q230" s="29">
        <v>0.2</v>
      </c>
      <c r="R230" s="29">
        <v>0.2</v>
      </c>
      <c r="S230" s="29">
        <v>3.2</v>
      </c>
      <c r="T230" s="31">
        <v>0</v>
      </c>
      <c r="U230" s="20" t="s">
        <v>175</v>
      </c>
    </row>
    <row r="231" spans="1:21" ht="15.6">
      <c r="A231" s="28">
        <v>11020</v>
      </c>
      <c r="B231" s="20" t="s">
        <v>175</v>
      </c>
      <c r="C231" s="20" t="s">
        <v>440</v>
      </c>
      <c r="D231" s="29">
        <v>0</v>
      </c>
      <c r="E231" s="30">
        <v>244</v>
      </c>
      <c r="F231" s="29">
        <v>62.8</v>
      </c>
      <c r="G231" s="29">
        <v>16</v>
      </c>
      <c r="H231" s="29">
        <v>20</v>
      </c>
      <c r="I231" s="29">
        <v>0</v>
      </c>
      <c r="J231" s="29" t="s">
        <v>180</v>
      </c>
      <c r="K231" s="29">
        <v>1.2</v>
      </c>
      <c r="L231" s="29">
        <v>8</v>
      </c>
      <c r="M231" s="29">
        <v>120</v>
      </c>
      <c r="N231" s="29">
        <v>2.1</v>
      </c>
      <c r="O231" s="29">
        <v>8</v>
      </c>
      <c r="P231" s="30"/>
      <c r="Q231" s="29">
        <v>0.3</v>
      </c>
      <c r="R231" s="29">
        <v>0.2</v>
      </c>
      <c r="S231" s="29">
        <v>5.5</v>
      </c>
      <c r="T231" s="31">
        <v>0.8</v>
      </c>
      <c r="U231" s="20" t="s">
        <v>175</v>
      </c>
    </row>
    <row r="232" spans="1:21" ht="15.6">
      <c r="A232" s="28">
        <v>11020</v>
      </c>
      <c r="B232" s="20" t="s">
        <v>175</v>
      </c>
      <c r="C232" s="20" t="s">
        <v>441</v>
      </c>
      <c r="D232" s="29">
        <v>0</v>
      </c>
      <c r="E232" s="30">
        <v>244</v>
      </c>
      <c r="F232" s="29">
        <v>62.8</v>
      </c>
      <c r="G232" s="29">
        <v>16</v>
      </c>
      <c r="H232" s="29">
        <v>20</v>
      </c>
      <c r="I232" s="29">
        <v>0</v>
      </c>
      <c r="J232" s="29" t="s">
        <v>180</v>
      </c>
      <c r="K232" s="29">
        <v>1.2</v>
      </c>
      <c r="L232" s="29">
        <v>8</v>
      </c>
      <c r="M232" s="29">
        <v>120</v>
      </c>
      <c r="N232" s="29">
        <v>2.1</v>
      </c>
      <c r="O232" s="29">
        <v>8</v>
      </c>
      <c r="P232" s="30"/>
      <c r="Q232" s="29">
        <v>0.3</v>
      </c>
      <c r="R232" s="29">
        <v>0.2</v>
      </c>
      <c r="S232" s="29">
        <v>5.5</v>
      </c>
      <c r="T232" s="31">
        <v>0.8</v>
      </c>
      <c r="U232" s="20" t="s">
        <v>175</v>
      </c>
    </row>
    <row r="233" spans="1:21" ht="15.6">
      <c r="A233" s="28">
        <v>12014</v>
      </c>
      <c r="B233" s="20" t="s">
        <v>172</v>
      </c>
      <c r="C233" s="32" t="s">
        <v>442</v>
      </c>
      <c r="D233" s="29">
        <v>0</v>
      </c>
      <c r="E233" s="30">
        <v>397</v>
      </c>
      <c r="F233" s="29">
        <v>0.5</v>
      </c>
      <c r="G233" s="29">
        <v>0</v>
      </c>
      <c r="H233" s="29">
        <v>0</v>
      </c>
      <c r="I233" s="29">
        <v>99.3</v>
      </c>
      <c r="J233" s="29" t="s">
        <v>180</v>
      </c>
      <c r="K233" s="29">
        <v>0.2</v>
      </c>
      <c r="L233" s="29">
        <v>0.4</v>
      </c>
      <c r="M233" s="29">
        <v>28</v>
      </c>
      <c r="N233" s="29">
        <v>0.1</v>
      </c>
      <c r="O233" s="29" t="s">
        <v>180</v>
      </c>
      <c r="P233" s="30"/>
      <c r="Q233" s="29">
        <v>0</v>
      </c>
      <c r="R233" s="29">
        <v>0</v>
      </c>
      <c r="S233" s="29">
        <v>0</v>
      </c>
      <c r="T233" s="31">
        <v>0</v>
      </c>
      <c r="U233" s="20" t="s">
        <v>172</v>
      </c>
    </row>
    <row r="234" spans="1:21" ht="15.6">
      <c r="A234" s="28">
        <v>13003</v>
      </c>
      <c r="B234" s="20" t="s">
        <v>176</v>
      </c>
      <c r="C234" s="20" t="s">
        <v>443</v>
      </c>
      <c r="D234" s="29">
        <v>10</v>
      </c>
      <c r="E234" s="30">
        <v>25</v>
      </c>
      <c r="F234" s="29">
        <v>90</v>
      </c>
      <c r="G234" s="29">
        <v>0.4</v>
      </c>
      <c r="H234" s="30"/>
      <c r="I234" s="29">
        <v>5.8</v>
      </c>
      <c r="J234" s="29">
        <v>3.3</v>
      </c>
      <c r="K234" s="29">
        <v>0.5</v>
      </c>
      <c r="L234" s="29">
        <v>60</v>
      </c>
      <c r="M234" s="29">
        <v>8</v>
      </c>
      <c r="N234" s="29">
        <v>2.5</v>
      </c>
      <c r="O234" s="30"/>
      <c r="P234" s="29">
        <v>0</v>
      </c>
      <c r="Q234" s="29">
        <v>0</v>
      </c>
      <c r="R234" s="29">
        <v>0</v>
      </c>
      <c r="S234" s="29">
        <v>0.7</v>
      </c>
      <c r="T234" s="31">
        <v>5.3</v>
      </c>
      <c r="U234" s="20" t="s">
        <v>176</v>
      </c>
    </row>
    <row r="235" spans="1:21" ht="15.6">
      <c r="A235" s="28">
        <v>13004</v>
      </c>
      <c r="B235" s="20" t="s">
        <v>176</v>
      </c>
      <c r="C235" s="32" t="s">
        <v>444</v>
      </c>
      <c r="D235" s="29">
        <v>0</v>
      </c>
      <c r="E235" s="30">
        <v>231</v>
      </c>
      <c r="F235" s="29">
        <v>13.5</v>
      </c>
      <c r="G235" s="29">
        <v>7</v>
      </c>
      <c r="H235" s="29">
        <v>7.4</v>
      </c>
      <c r="I235" s="29">
        <v>34.1</v>
      </c>
      <c r="J235" s="29">
        <v>33.5</v>
      </c>
      <c r="K235" s="29">
        <v>4.5</v>
      </c>
      <c r="L235" s="29">
        <v>732</v>
      </c>
      <c r="M235" s="29">
        <v>44</v>
      </c>
      <c r="N235" s="29">
        <v>4.5999999999999996</v>
      </c>
      <c r="O235" s="30"/>
      <c r="P235" s="29">
        <v>24</v>
      </c>
      <c r="Q235" s="29">
        <v>0.1</v>
      </c>
      <c r="R235" s="29">
        <v>0.1</v>
      </c>
      <c r="S235" s="29">
        <v>2.6</v>
      </c>
      <c r="T235" s="31">
        <v>0</v>
      </c>
      <c r="U235" s="20" t="s">
        <v>176</v>
      </c>
    </row>
    <row r="236" spans="1:21" ht="15.6">
      <c r="A236" s="28">
        <v>13005</v>
      </c>
      <c r="B236" s="20" t="s">
        <v>176</v>
      </c>
      <c r="C236" s="42" t="s">
        <v>445</v>
      </c>
      <c r="D236" s="29">
        <v>0</v>
      </c>
      <c r="E236" s="30"/>
      <c r="F236" s="29">
        <v>1</v>
      </c>
      <c r="G236" s="29">
        <v>0</v>
      </c>
      <c r="H236" s="29">
        <v>0</v>
      </c>
      <c r="I236" s="29">
        <v>0</v>
      </c>
      <c r="J236" s="29">
        <v>0</v>
      </c>
      <c r="K236" s="29">
        <v>99</v>
      </c>
      <c r="L236" s="29">
        <v>150</v>
      </c>
      <c r="M236" s="29">
        <v>70</v>
      </c>
      <c r="N236" s="29">
        <v>0.8</v>
      </c>
      <c r="O236" s="30"/>
      <c r="P236" s="30"/>
      <c r="Q236" s="30"/>
      <c r="R236" s="30"/>
      <c r="S236" s="30"/>
      <c r="T236" s="33"/>
      <c r="U236" s="20" t="s">
        <v>176</v>
      </c>
    </row>
    <row r="237" spans="1:21" ht="15.6">
      <c r="A237" s="28">
        <v>13006</v>
      </c>
      <c r="B237" s="20" t="s">
        <v>176</v>
      </c>
      <c r="C237" s="32" t="s">
        <v>446</v>
      </c>
      <c r="D237" s="29">
        <v>0</v>
      </c>
      <c r="E237" s="30">
        <v>360</v>
      </c>
      <c r="F237" s="29">
        <v>13</v>
      </c>
      <c r="G237" s="29">
        <v>6.3</v>
      </c>
      <c r="H237" s="29">
        <v>5.0999999999999996</v>
      </c>
      <c r="I237" s="29">
        <v>72.099999999999994</v>
      </c>
      <c r="J237" s="29" t="s">
        <v>180</v>
      </c>
      <c r="K237" s="29">
        <v>3.5</v>
      </c>
      <c r="L237" s="29">
        <v>146</v>
      </c>
      <c r="M237" s="29">
        <v>284</v>
      </c>
      <c r="N237" s="29">
        <v>18.600000000000001</v>
      </c>
      <c r="O237" s="30"/>
      <c r="P237" s="29">
        <v>10</v>
      </c>
      <c r="Q237" s="29">
        <v>0</v>
      </c>
      <c r="R237" s="29">
        <v>0.1</v>
      </c>
      <c r="S237" s="29">
        <v>2.2999999999999998</v>
      </c>
      <c r="T237" s="31">
        <v>0</v>
      </c>
      <c r="U237" s="20" t="s">
        <v>176</v>
      </c>
    </row>
    <row r="238" spans="1:21" ht="15.6">
      <c r="A238" s="28">
        <v>13007</v>
      </c>
      <c r="B238" s="20" t="s">
        <v>176</v>
      </c>
      <c r="C238" s="20" t="s">
        <v>447</v>
      </c>
      <c r="D238" s="29">
        <v>22</v>
      </c>
      <c r="E238" s="30">
        <v>87.5</v>
      </c>
      <c r="F238" s="29">
        <v>0.3</v>
      </c>
      <c r="G238" s="30"/>
      <c r="H238" s="29">
        <v>5.2</v>
      </c>
      <c r="I238" s="29">
        <v>6.1</v>
      </c>
      <c r="J238" s="29">
        <v>0.9</v>
      </c>
      <c r="K238" s="29">
        <v>12</v>
      </c>
      <c r="L238" s="29">
        <v>22</v>
      </c>
      <c r="M238" s="29" t="s">
        <v>180</v>
      </c>
      <c r="N238" s="30"/>
      <c r="O238" s="29" t="s">
        <v>180</v>
      </c>
      <c r="P238" s="29" t="s">
        <v>180</v>
      </c>
      <c r="Q238" s="29" t="s">
        <v>180</v>
      </c>
      <c r="R238" s="29" t="s">
        <v>180</v>
      </c>
      <c r="S238" s="29">
        <v>7</v>
      </c>
      <c r="T238" s="33"/>
      <c r="U238" s="20" t="s">
        <v>176</v>
      </c>
    </row>
    <row r="239" spans="1:21" ht="15.6">
      <c r="A239" s="28">
        <v>13008</v>
      </c>
      <c r="B239" s="20" t="s">
        <v>176</v>
      </c>
      <c r="C239" s="32" t="s">
        <v>448</v>
      </c>
      <c r="D239" s="29">
        <v>0</v>
      </c>
      <c r="E239" s="30">
        <v>227</v>
      </c>
      <c r="F239" s="29">
        <v>12</v>
      </c>
      <c r="G239" s="29">
        <v>15.6</v>
      </c>
      <c r="H239" s="29">
        <v>4.2</v>
      </c>
      <c r="I239" s="29">
        <v>31.8</v>
      </c>
      <c r="J239" s="29">
        <v>23.6</v>
      </c>
      <c r="K239" s="29">
        <v>12.8</v>
      </c>
      <c r="L239" s="29">
        <v>85</v>
      </c>
      <c r="M239" s="29">
        <v>380</v>
      </c>
      <c r="N239" s="29">
        <v>17</v>
      </c>
      <c r="O239" s="30"/>
      <c r="P239" s="29" t="s">
        <v>449</v>
      </c>
      <c r="Q239" s="29">
        <v>0.6</v>
      </c>
      <c r="R239" s="29">
        <v>0.9</v>
      </c>
      <c r="S239" s="29">
        <v>8.1</v>
      </c>
      <c r="T239" s="31">
        <v>0</v>
      </c>
      <c r="U239" s="20" t="s">
        <v>176</v>
      </c>
    </row>
    <row r="240" spans="1:21" ht="15.6">
      <c r="A240" s="28">
        <v>13009</v>
      </c>
      <c r="B240" s="20" t="s">
        <v>176</v>
      </c>
      <c r="C240" s="20" t="s">
        <v>450</v>
      </c>
      <c r="D240" s="29">
        <v>10</v>
      </c>
      <c r="E240" s="30">
        <v>11</v>
      </c>
      <c r="F240" s="29">
        <v>91.7</v>
      </c>
      <c r="G240" s="29">
        <v>0.3</v>
      </c>
      <c r="H240" s="30"/>
      <c r="I240" s="29">
        <v>2.5</v>
      </c>
      <c r="J240" s="29">
        <v>3.7</v>
      </c>
      <c r="K240" s="29">
        <v>1.8</v>
      </c>
      <c r="L240" s="29">
        <v>24</v>
      </c>
      <c r="M240" s="29">
        <v>28</v>
      </c>
      <c r="N240" s="30"/>
      <c r="O240" s="30"/>
      <c r="P240" s="30"/>
      <c r="Q240" s="30"/>
      <c r="R240" s="30"/>
      <c r="S240" s="30"/>
      <c r="T240" s="33"/>
      <c r="U240" s="20" t="s">
        <v>176</v>
      </c>
    </row>
    <row r="241" spans="1:21" ht="15.6">
      <c r="A241" s="36">
        <v>13009</v>
      </c>
      <c r="B241" s="20" t="s">
        <v>176</v>
      </c>
      <c r="C241" s="32" t="s">
        <v>451</v>
      </c>
      <c r="D241" s="37">
        <v>10</v>
      </c>
      <c r="E241" s="37">
        <v>11.5</v>
      </c>
      <c r="F241" s="37">
        <v>88.5</v>
      </c>
      <c r="G241" s="37">
        <v>0.5</v>
      </c>
      <c r="H241" s="38"/>
      <c r="I241" s="37">
        <v>2.5</v>
      </c>
      <c r="J241" s="37">
        <v>3.7</v>
      </c>
      <c r="K241" s="37">
        <v>1.8</v>
      </c>
      <c r="L241" s="37">
        <v>24</v>
      </c>
      <c r="M241" s="37">
        <v>28</v>
      </c>
      <c r="N241" s="38"/>
      <c r="O241" s="38"/>
      <c r="P241" s="38"/>
      <c r="Q241" s="38"/>
      <c r="R241" s="38"/>
      <c r="S241" s="38"/>
      <c r="T241" s="51"/>
      <c r="U241" s="20" t="s">
        <v>176</v>
      </c>
    </row>
    <row r="242" spans="1:21" ht="15.6">
      <c r="A242" s="28">
        <v>13011</v>
      </c>
      <c r="B242" s="20" t="s">
        <v>176</v>
      </c>
      <c r="C242" s="20" t="s">
        <v>452</v>
      </c>
      <c r="D242" s="29">
        <v>0</v>
      </c>
      <c r="E242" s="30">
        <v>73</v>
      </c>
      <c r="F242" s="29">
        <v>48</v>
      </c>
      <c r="G242" s="29">
        <v>14.8</v>
      </c>
      <c r="H242" s="29">
        <v>1.5</v>
      </c>
      <c r="I242" s="30"/>
      <c r="J242" s="29" t="s">
        <v>180</v>
      </c>
      <c r="K242" s="29">
        <v>35.700000000000003</v>
      </c>
      <c r="L242" s="30"/>
      <c r="M242" s="29" t="s">
        <v>180</v>
      </c>
      <c r="N242" s="30"/>
      <c r="O242" s="29" t="s">
        <v>180</v>
      </c>
      <c r="P242" s="30"/>
      <c r="Q242" s="30"/>
      <c r="R242" s="30"/>
      <c r="S242" s="30"/>
      <c r="T242" s="33"/>
      <c r="U242" s="20" t="s">
        <v>176</v>
      </c>
    </row>
    <row r="243" spans="1:21" ht="15.6">
      <c r="A243" s="28">
        <v>13012</v>
      </c>
      <c r="B243" s="20" t="s">
        <v>176</v>
      </c>
      <c r="C243" s="20" t="s">
        <v>453</v>
      </c>
      <c r="D243" s="29">
        <v>0</v>
      </c>
      <c r="E243" s="30">
        <v>44</v>
      </c>
      <c r="F243" s="29">
        <v>68.599999999999994</v>
      </c>
      <c r="G243" s="29">
        <v>7</v>
      </c>
      <c r="H243" s="29">
        <v>0.8</v>
      </c>
      <c r="I243" s="29">
        <v>2.1</v>
      </c>
      <c r="J243" s="29" t="s">
        <v>180</v>
      </c>
      <c r="K243" s="29">
        <v>21.5</v>
      </c>
      <c r="L243" s="29">
        <v>645</v>
      </c>
      <c r="M243" s="29">
        <v>225.6</v>
      </c>
      <c r="N243" s="30"/>
      <c r="O243" s="29" t="s">
        <v>180</v>
      </c>
      <c r="P243" s="30"/>
      <c r="Q243" s="30"/>
      <c r="R243" s="30"/>
      <c r="S243" s="30"/>
      <c r="T243" s="33"/>
      <c r="U243" s="20" t="s">
        <v>176</v>
      </c>
    </row>
    <row r="244" spans="1:21" ht="17.25" customHeight="1">
      <c r="A244" s="28">
        <v>13014</v>
      </c>
      <c r="B244" s="20" t="s">
        <v>170</v>
      </c>
      <c r="C244" s="32" t="s">
        <v>454</v>
      </c>
      <c r="D244" s="29">
        <v>0</v>
      </c>
      <c r="E244" s="30">
        <v>60</v>
      </c>
      <c r="F244" s="29">
        <v>60</v>
      </c>
      <c r="G244" s="29">
        <v>15</v>
      </c>
      <c r="H244" s="29">
        <v>0</v>
      </c>
      <c r="I244" s="29">
        <v>0</v>
      </c>
      <c r="J244" s="29" t="s">
        <v>180</v>
      </c>
      <c r="K244" s="29">
        <v>25</v>
      </c>
      <c r="L244" s="29">
        <v>386.7</v>
      </c>
      <c r="M244" s="29">
        <v>246.7</v>
      </c>
      <c r="N244" s="29">
        <v>2.7</v>
      </c>
      <c r="O244" s="29" t="s">
        <v>180</v>
      </c>
      <c r="P244" s="29" t="s">
        <v>180</v>
      </c>
      <c r="Q244" s="29">
        <v>0.1</v>
      </c>
      <c r="R244" s="29">
        <v>0.9</v>
      </c>
      <c r="S244" s="29" t="s">
        <v>180</v>
      </c>
      <c r="T244" s="31">
        <v>0</v>
      </c>
      <c r="U244" s="20" t="s">
        <v>170</v>
      </c>
    </row>
    <row r="245" spans="1:21" ht="15.6">
      <c r="A245" s="28">
        <v>13015</v>
      </c>
      <c r="B245" s="20" t="s">
        <v>170</v>
      </c>
      <c r="C245" s="32" t="s">
        <v>455</v>
      </c>
      <c r="D245" s="29">
        <v>0</v>
      </c>
      <c r="E245" s="30">
        <v>28</v>
      </c>
      <c r="F245" s="29">
        <v>67.900000000000006</v>
      </c>
      <c r="G245" s="29">
        <v>7.1</v>
      </c>
      <c r="H245" s="29">
        <v>0</v>
      </c>
      <c r="I245" s="29">
        <v>0</v>
      </c>
      <c r="J245" s="29">
        <v>0</v>
      </c>
      <c r="K245" s="29">
        <v>25</v>
      </c>
      <c r="L245" s="29">
        <v>386.7</v>
      </c>
      <c r="M245" s="29">
        <v>246.7</v>
      </c>
      <c r="N245" s="29">
        <v>2.7</v>
      </c>
      <c r="O245" s="29" t="s">
        <v>180</v>
      </c>
      <c r="P245" s="29" t="s">
        <v>180</v>
      </c>
      <c r="Q245" s="29">
        <v>0</v>
      </c>
      <c r="R245" s="29">
        <v>0.3</v>
      </c>
      <c r="S245" s="29" t="s">
        <v>180</v>
      </c>
      <c r="T245" s="31">
        <v>0</v>
      </c>
      <c r="U245" s="20" t="s">
        <v>170</v>
      </c>
    </row>
    <row r="246" spans="1:21" ht="15.6">
      <c r="A246" s="28">
        <v>13015</v>
      </c>
      <c r="B246" s="20" t="s">
        <v>170</v>
      </c>
      <c r="C246" s="32" t="s">
        <v>456</v>
      </c>
      <c r="D246" s="29">
        <v>0</v>
      </c>
      <c r="E246" s="30">
        <v>28</v>
      </c>
      <c r="F246" s="29">
        <v>67.900000000000006</v>
      </c>
      <c r="G246" s="29">
        <v>7.1</v>
      </c>
      <c r="H246" s="29">
        <v>0</v>
      </c>
      <c r="I246" s="29">
        <v>0</v>
      </c>
      <c r="J246" s="29">
        <v>0</v>
      </c>
      <c r="K246" s="29">
        <v>25</v>
      </c>
      <c r="L246" s="29">
        <v>386.7</v>
      </c>
      <c r="M246" s="29">
        <v>246.7</v>
      </c>
      <c r="N246" s="29">
        <v>2.7</v>
      </c>
      <c r="O246" s="29" t="s">
        <v>180</v>
      </c>
      <c r="P246" s="29" t="s">
        <v>180</v>
      </c>
      <c r="Q246" s="29">
        <v>0</v>
      </c>
      <c r="R246" s="29">
        <v>0.3</v>
      </c>
      <c r="S246" s="29" t="s">
        <v>180</v>
      </c>
      <c r="T246" s="31">
        <v>1</v>
      </c>
      <c r="U246" s="20" t="s">
        <v>170</v>
      </c>
    </row>
    <row r="247" spans="1:21" ht="15.6">
      <c r="A247" s="28">
        <v>13017</v>
      </c>
      <c r="B247" s="20" t="s">
        <v>170</v>
      </c>
      <c r="C247" s="32" t="s">
        <v>457</v>
      </c>
      <c r="D247" s="29">
        <v>0</v>
      </c>
      <c r="E247" s="30">
        <v>131</v>
      </c>
      <c r="F247" s="29">
        <v>20.2</v>
      </c>
      <c r="G247" s="29">
        <v>32.799999999999997</v>
      </c>
      <c r="H247" s="30"/>
      <c r="I247" s="30"/>
      <c r="J247" s="29">
        <v>0</v>
      </c>
      <c r="K247" s="29">
        <v>47</v>
      </c>
      <c r="L247" s="30"/>
      <c r="M247" s="29" t="s">
        <v>180</v>
      </c>
      <c r="N247" s="30"/>
      <c r="O247" s="29" t="s">
        <v>180</v>
      </c>
      <c r="P247" s="30"/>
      <c r="Q247" s="30"/>
      <c r="R247" s="30"/>
      <c r="S247" s="30"/>
      <c r="T247" s="33"/>
      <c r="U247" s="20" t="s">
        <v>170</v>
      </c>
    </row>
    <row r="248" spans="1:21" ht="15.6">
      <c r="A248" s="28">
        <v>13019</v>
      </c>
      <c r="B248" s="20" t="s">
        <v>176</v>
      </c>
      <c r="C248" s="20" t="s">
        <v>458</v>
      </c>
      <c r="D248" s="29">
        <v>0</v>
      </c>
      <c r="E248" s="30">
        <v>86</v>
      </c>
      <c r="F248" s="29">
        <v>68.3</v>
      </c>
      <c r="G248" s="29">
        <v>4.3</v>
      </c>
      <c r="H248" s="29">
        <v>0.7</v>
      </c>
      <c r="I248" s="29">
        <v>15.7</v>
      </c>
      <c r="J248" s="29" t="s">
        <v>180</v>
      </c>
      <c r="K248" s="29">
        <v>11</v>
      </c>
      <c r="L248" s="30"/>
      <c r="M248" s="29" t="s">
        <v>180</v>
      </c>
      <c r="N248" s="30"/>
      <c r="O248" s="29" t="s">
        <v>180</v>
      </c>
      <c r="P248" s="30"/>
      <c r="Q248" s="30"/>
      <c r="R248" s="30"/>
      <c r="S248" s="30"/>
      <c r="T248" s="33"/>
      <c r="U248" s="20" t="s">
        <v>176</v>
      </c>
    </row>
    <row r="249" spans="1:21" ht="15.6">
      <c r="A249" s="28">
        <v>13020</v>
      </c>
      <c r="B249" s="20" t="s">
        <v>176</v>
      </c>
      <c r="C249" s="20" t="s">
        <v>459</v>
      </c>
      <c r="D249" s="29">
        <v>0</v>
      </c>
      <c r="E249" s="30">
        <v>37</v>
      </c>
      <c r="F249" s="29">
        <v>84</v>
      </c>
      <c r="G249" s="29">
        <v>0.5</v>
      </c>
      <c r="H249" s="29">
        <v>0.5</v>
      </c>
      <c r="I249" s="29">
        <v>7.6</v>
      </c>
      <c r="J249" s="29">
        <v>0.9</v>
      </c>
      <c r="K249" s="29">
        <v>6.5</v>
      </c>
      <c r="L249" s="29">
        <v>36</v>
      </c>
      <c r="M249" s="29">
        <v>24</v>
      </c>
      <c r="N249" s="30"/>
      <c r="O249" s="29" t="s">
        <v>180</v>
      </c>
      <c r="P249" s="30"/>
      <c r="Q249" s="30"/>
      <c r="R249" s="30"/>
      <c r="S249" s="30"/>
      <c r="T249" s="33"/>
      <c r="U249" s="20" t="s">
        <v>176</v>
      </c>
    </row>
    <row r="250" spans="1:21" ht="15.6">
      <c r="A250" s="28">
        <v>13021</v>
      </c>
      <c r="B250" s="20" t="s">
        <v>176</v>
      </c>
      <c r="C250" s="20" t="s">
        <v>460</v>
      </c>
      <c r="D250" s="29">
        <v>0</v>
      </c>
      <c r="E250" s="30">
        <v>28</v>
      </c>
      <c r="F250" s="29">
        <v>77.599999999999994</v>
      </c>
      <c r="G250" s="29">
        <v>7</v>
      </c>
      <c r="H250" s="30"/>
      <c r="I250" s="30"/>
      <c r="J250" s="29" t="s">
        <v>180</v>
      </c>
      <c r="K250" s="29">
        <v>15.4</v>
      </c>
      <c r="L250" s="29">
        <v>59</v>
      </c>
      <c r="M250" s="29">
        <v>100</v>
      </c>
      <c r="N250" s="29">
        <v>4.9000000000000004</v>
      </c>
      <c r="O250" s="29" t="s">
        <v>180</v>
      </c>
      <c r="P250" s="29" t="s">
        <v>180</v>
      </c>
      <c r="Q250" s="29">
        <v>0.1</v>
      </c>
      <c r="R250" s="29">
        <v>0.1</v>
      </c>
      <c r="S250" s="29">
        <v>3.4</v>
      </c>
      <c r="T250" s="31">
        <v>0</v>
      </c>
      <c r="U250" s="20" t="s">
        <v>176</v>
      </c>
    </row>
    <row r="251" spans="1:21" ht="15.6">
      <c r="A251" s="28">
        <v>14011</v>
      </c>
      <c r="B251" s="20" t="s">
        <v>461</v>
      </c>
      <c r="C251" s="20" t="s">
        <v>462</v>
      </c>
      <c r="D251" s="29">
        <v>0</v>
      </c>
      <c r="E251" s="30">
        <v>202</v>
      </c>
      <c r="F251" s="29">
        <v>52.4</v>
      </c>
      <c r="G251" s="29">
        <v>4</v>
      </c>
      <c r="H251" s="30"/>
      <c r="I251" s="29">
        <v>37.700000000000003</v>
      </c>
      <c r="J251" s="29">
        <v>0.2</v>
      </c>
      <c r="K251" s="29">
        <v>0.7</v>
      </c>
      <c r="L251" s="30"/>
      <c r="M251" s="29" t="s">
        <v>180</v>
      </c>
      <c r="N251" s="30"/>
      <c r="O251" s="29" t="s">
        <v>180</v>
      </c>
      <c r="P251" s="29" t="s">
        <v>180</v>
      </c>
      <c r="Q251" s="29" t="s">
        <v>180</v>
      </c>
      <c r="R251" s="29" t="s">
        <v>463</v>
      </c>
      <c r="S251" s="29" t="s">
        <v>463</v>
      </c>
      <c r="T251" s="31">
        <v>0</v>
      </c>
      <c r="U251" s="20" t="s">
        <v>461</v>
      </c>
    </row>
    <row r="252" spans="1:21" ht="15.6">
      <c r="A252" s="28">
        <v>14012</v>
      </c>
      <c r="B252" s="20" t="s">
        <v>461</v>
      </c>
      <c r="C252" s="20" t="s">
        <v>464</v>
      </c>
      <c r="D252" s="29">
        <v>0</v>
      </c>
      <c r="E252" s="30">
        <v>273</v>
      </c>
      <c r="F252" s="30"/>
      <c r="G252" s="30"/>
      <c r="H252" s="30"/>
      <c r="I252" s="30"/>
      <c r="J252" s="29">
        <v>0</v>
      </c>
      <c r="K252" s="30"/>
      <c r="L252" s="30"/>
      <c r="M252" s="29" t="s">
        <v>180</v>
      </c>
      <c r="N252" s="30"/>
      <c r="O252" s="29" t="s">
        <v>180</v>
      </c>
      <c r="P252" s="29" t="s">
        <v>180</v>
      </c>
      <c r="Q252" s="29" t="s">
        <v>180</v>
      </c>
      <c r="R252" s="29" t="s">
        <v>463</v>
      </c>
      <c r="S252" s="29" t="s">
        <v>463</v>
      </c>
      <c r="T252" s="31">
        <v>0</v>
      </c>
      <c r="U252" s="20" t="s">
        <v>461</v>
      </c>
    </row>
    <row r="253" spans="1:21" ht="15.6">
      <c r="A253" s="28">
        <v>14013</v>
      </c>
      <c r="B253" s="20" t="s">
        <v>172</v>
      </c>
      <c r="C253" s="20" t="s">
        <v>465</v>
      </c>
      <c r="D253" s="29">
        <v>0</v>
      </c>
      <c r="E253" s="29">
        <v>30</v>
      </c>
      <c r="F253" s="29">
        <v>0.1</v>
      </c>
      <c r="G253" s="53"/>
      <c r="H253" s="53"/>
      <c r="I253" s="53"/>
      <c r="J253" s="54"/>
      <c r="K253" s="53"/>
      <c r="L253" s="29"/>
      <c r="M253" s="29"/>
      <c r="N253" s="29"/>
      <c r="O253" s="29"/>
      <c r="P253" s="30"/>
      <c r="Q253" s="29"/>
      <c r="R253" s="29"/>
      <c r="S253" s="29"/>
      <c r="T253" s="31"/>
      <c r="U253" s="20" t="s">
        <v>172</v>
      </c>
    </row>
    <row r="254" spans="1:21" ht="15.6">
      <c r="A254" s="28">
        <v>14014</v>
      </c>
      <c r="B254" s="20" t="s">
        <v>172</v>
      </c>
      <c r="C254" s="20" t="s">
        <v>466</v>
      </c>
      <c r="D254" s="29">
        <v>0</v>
      </c>
      <c r="E254" s="29">
        <v>5</v>
      </c>
      <c r="F254" s="29">
        <v>0.1</v>
      </c>
      <c r="G254" s="53"/>
      <c r="H254" s="53"/>
      <c r="I254" s="53"/>
      <c r="J254" s="54"/>
      <c r="K254" s="53"/>
      <c r="L254" s="29"/>
      <c r="M254" s="29"/>
      <c r="N254" s="29"/>
      <c r="O254" s="29"/>
      <c r="P254" s="30"/>
      <c r="Q254" s="29"/>
      <c r="R254" s="29"/>
      <c r="S254" s="29"/>
      <c r="T254" s="31"/>
      <c r="U254" s="20" t="s">
        <v>172</v>
      </c>
    </row>
    <row r="255" spans="1:21" ht="15.6">
      <c r="A255" s="28">
        <v>14015</v>
      </c>
      <c r="B255" s="20" t="s">
        <v>174</v>
      </c>
      <c r="C255" s="6" t="s">
        <v>99</v>
      </c>
      <c r="D255" s="4">
        <v>0</v>
      </c>
      <c r="E255" s="4">
        <v>0</v>
      </c>
      <c r="U255" s="20" t="s">
        <v>174</v>
      </c>
    </row>
    <row r="256" spans="1:21" ht="15.6">
      <c r="A256" s="28">
        <v>14016</v>
      </c>
      <c r="B256" s="20" t="s">
        <v>177</v>
      </c>
      <c r="C256" s="20" t="s">
        <v>467</v>
      </c>
      <c r="D256" s="4">
        <v>0</v>
      </c>
      <c r="E256" s="4">
        <v>0</v>
      </c>
      <c r="U256" s="20" t="s">
        <v>177</v>
      </c>
    </row>
    <row r="257" spans="1:21" ht="15.6">
      <c r="A257" s="28">
        <v>14017</v>
      </c>
      <c r="B257" s="20" t="s">
        <v>177</v>
      </c>
      <c r="C257" s="20" t="s">
        <v>468</v>
      </c>
      <c r="D257" s="4">
        <v>0</v>
      </c>
      <c r="E257" s="4">
        <v>0</v>
      </c>
      <c r="U257" s="20" t="s">
        <v>177</v>
      </c>
    </row>
    <row r="258" spans="1:21" ht="15.6">
      <c r="A258" s="28">
        <v>14018</v>
      </c>
      <c r="B258" s="20" t="s">
        <v>176</v>
      </c>
      <c r="C258" s="20" t="s">
        <v>469</v>
      </c>
      <c r="D258" s="4">
        <v>0</v>
      </c>
      <c r="E258" s="4">
        <v>0</v>
      </c>
      <c r="U258" s="20" t="s">
        <v>176</v>
      </c>
    </row>
    <row r="259" spans="1:21" ht="15.6">
      <c r="A259" s="28">
        <v>14019</v>
      </c>
      <c r="B259" s="4" t="s">
        <v>177</v>
      </c>
      <c r="C259" s="47" t="s">
        <v>470</v>
      </c>
      <c r="D259" s="4">
        <v>30</v>
      </c>
      <c r="E259" s="4">
        <v>10</v>
      </c>
      <c r="U259" s="4" t="s">
        <v>177</v>
      </c>
    </row>
    <row r="260" spans="1:21">
      <c r="B260" s="4" t="s">
        <v>140</v>
      </c>
      <c r="C260" s="4" t="s">
        <v>471</v>
      </c>
      <c r="D260" s="4">
        <v>20</v>
      </c>
      <c r="E260" s="55" t="s">
        <v>472</v>
      </c>
      <c r="U260" s="4" t="s">
        <v>140</v>
      </c>
    </row>
    <row r="261" spans="1:21">
      <c r="B261" s="4" t="s">
        <v>162</v>
      </c>
      <c r="C261" s="4" t="s">
        <v>84</v>
      </c>
      <c r="D261" s="4">
        <v>25</v>
      </c>
      <c r="E261" s="55" t="s">
        <v>473</v>
      </c>
      <c r="U261" s="4" t="s">
        <v>162</v>
      </c>
    </row>
    <row r="262" spans="1:21">
      <c r="B262" s="4" t="s">
        <v>177</v>
      </c>
      <c r="C262" s="4" t="s">
        <v>474</v>
      </c>
      <c r="D262" s="4">
        <v>30</v>
      </c>
      <c r="E262" s="55" t="s">
        <v>475</v>
      </c>
      <c r="U262" s="4" t="s">
        <v>177</v>
      </c>
    </row>
    <row r="263" spans="1:21">
      <c r="B263" s="4" t="s">
        <v>168</v>
      </c>
      <c r="C263" s="4" t="s">
        <v>476</v>
      </c>
      <c r="D263" s="4">
        <v>18.5</v>
      </c>
      <c r="E263" s="4" t="s">
        <v>477</v>
      </c>
      <c r="U263" s="4" t="s">
        <v>168</v>
      </c>
    </row>
    <row r="264" spans="1:21">
      <c r="B264" s="4" t="s">
        <v>176</v>
      </c>
      <c r="C264" s="4" t="s">
        <v>478</v>
      </c>
      <c r="D264" s="4">
        <v>15</v>
      </c>
      <c r="E264" s="4" t="s">
        <v>479</v>
      </c>
      <c r="U264" s="4" t="s">
        <v>176</v>
      </c>
    </row>
    <row r="265" spans="1:21">
      <c r="B265" s="4" t="s">
        <v>169</v>
      </c>
      <c r="C265" s="4" t="s">
        <v>480</v>
      </c>
      <c r="D265" s="4">
        <v>5</v>
      </c>
      <c r="E265" s="4" t="s">
        <v>481</v>
      </c>
      <c r="U265" s="4" t="s">
        <v>169</v>
      </c>
    </row>
    <row r="266" spans="1:21">
      <c r="B266" s="4" t="s">
        <v>168</v>
      </c>
      <c r="C266" s="4" t="s">
        <v>482</v>
      </c>
      <c r="D266" s="4">
        <v>25</v>
      </c>
      <c r="E266" s="4" t="s">
        <v>483</v>
      </c>
      <c r="U266" s="4" t="s">
        <v>168</v>
      </c>
    </row>
    <row r="267" spans="1:21">
      <c r="B267" s="4" t="s">
        <v>176</v>
      </c>
      <c r="C267" s="6" t="s">
        <v>102</v>
      </c>
      <c r="D267" s="4">
        <v>0</v>
      </c>
      <c r="E267" s="4" t="s">
        <v>484</v>
      </c>
      <c r="U267" s="4" t="s">
        <v>176</v>
      </c>
    </row>
    <row r="268" spans="1:21">
      <c r="B268" s="4" t="s">
        <v>170</v>
      </c>
      <c r="C268" s="6" t="s">
        <v>100</v>
      </c>
      <c r="D268" s="4">
        <v>0</v>
      </c>
      <c r="E268" s="4" t="s">
        <v>485</v>
      </c>
      <c r="U268" s="4" t="s">
        <v>170</v>
      </c>
    </row>
    <row r="269" spans="1:21">
      <c r="B269" s="4" t="s">
        <v>170</v>
      </c>
      <c r="C269" s="6" t="s">
        <v>101</v>
      </c>
      <c r="D269" s="4">
        <v>0</v>
      </c>
      <c r="E269" s="4" t="s">
        <v>485</v>
      </c>
      <c r="U269" s="4" t="s">
        <v>170</v>
      </c>
    </row>
    <row r="270" spans="1:21">
      <c r="B270" s="4" t="s">
        <v>176</v>
      </c>
      <c r="C270" s="4" t="s">
        <v>486</v>
      </c>
      <c r="D270" s="4">
        <v>0</v>
      </c>
      <c r="E270" s="4" t="s">
        <v>487</v>
      </c>
      <c r="U270" s="4" t="s">
        <v>176</v>
      </c>
    </row>
    <row r="271" spans="1:21">
      <c r="B271" s="4" t="s">
        <v>168</v>
      </c>
      <c r="C271" s="4" t="s">
        <v>488</v>
      </c>
      <c r="D271" s="4">
        <v>20</v>
      </c>
      <c r="E271" s="4" t="s">
        <v>489</v>
      </c>
      <c r="U271" s="4" t="s">
        <v>168</v>
      </c>
    </row>
    <row r="272" spans="1:21">
      <c r="B272" s="4" t="s">
        <v>176</v>
      </c>
      <c r="C272" s="4" t="s">
        <v>490</v>
      </c>
      <c r="D272" s="4">
        <v>0</v>
      </c>
      <c r="E272" s="4" t="s">
        <v>491</v>
      </c>
      <c r="U272" s="4" t="s">
        <v>176</v>
      </c>
    </row>
    <row r="273" spans="2:21">
      <c r="B273" s="4" t="s">
        <v>177</v>
      </c>
      <c r="C273" s="4" t="s">
        <v>492</v>
      </c>
      <c r="D273" s="4">
        <v>0</v>
      </c>
      <c r="E273" s="4" t="s">
        <v>487</v>
      </c>
      <c r="U273" s="4" t="s">
        <v>177</v>
      </c>
    </row>
    <row r="274" spans="2:21">
      <c r="B274" s="4" t="s">
        <v>157</v>
      </c>
      <c r="C274" s="4" t="s">
        <v>493</v>
      </c>
      <c r="D274" s="4">
        <v>2</v>
      </c>
      <c r="E274" s="4" t="s">
        <v>494</v>
      </c>
      <c r="U274" s="4" t="s">
        <v>157</v>
      </c>
    </row>
    <row r="275" spans="2:21">
      <c r="B275" s="4" t="s">
        <v>168</v>
      </c>
      <c r="C275" s="4" t="s">
        <v>495</v>
      </c>
      <c r="D275" s="4">
        <v>20</v>
      </c>
      <c r="E275" s="4" t="s">
        <v>496</v>
      </c>
      <c r="U275" s="4" t="s">
        <v>168</v>
      </c>
    </row>
    <row r="276" spans="2:21">
      <c r="B276" s="4" t="s">
        <v>168</v>
      </c>
      <c r="C276" s="4" t="s">
        <v>497</v>
      </c>
      <c r="D276" s="4">
        <v>15</v>
      </c>
      <c r="E276" s="4" t="s">
        <v>496</v>
      </c>
      <c r="U276" s="4" t="s">
        <v>168</v>
      </c>
    </row>
    <row r="277" spans="2:21">
      <c r="B277" s="4" t="s">
        <v>158</v>
      </c>
      <c r="C277" s="4" t="s">
        <v>498</v>
      </c>
      <c r="D277" s="4">
        <v>2</v>
      </c>
      <c r="E277" s="4" t="s">
        <v>499</v>
      </c>
      <c r="U277" s="4" t="s">
        <v>158</v>
      </c>
    </row>
    <row r="278" spans="2:21">
      <c r="B278" s="4" t="s">
        <v>177</v>
      </c>
      <c r="C278" s="4" t="s">
        <v>500</v>
      </c>
      <c r="D278" s="4">
        <v>0</v>
      </c>
      <c r="E278" s="4" t="s">
        <v>487</v>
      </c>
      <c r="U278" s="4" t="s">
        <v>177</v>
      </c>
    </row>
    <row r="279" spans="2:21">
      <c r="B279" s="4" t="s">
        <v>158</v>
      </c>
      <c r="C279" s="4" t="s">
        <v>501</v>
      </c>
      <c r="D279" s="4">
        <v>2</v>
      </c>
      <c r="E279" s="4" t="s">
        <v>499</v>
      </c>
      <c r="U279" s="4" t="s">
        <v>158</v>
      </c>
    </row>
    <row r="280" spans="2:21">
      <c r="B280" s="4" t="s">
        <v>176</v>
      </c>
      <c r="C280" s="4" t="s">
        <v>502</v>
      </c>
      <c r="D280" s="4">
        <v>0</v>
      </c>
      <c r="E280" s="4" t="s">
        <v>503</v>
      </c>
      <c r="U280" s="4" t="s">
        <v>176</v>
      </c>
    </row>
    <row r="281" spans="2:21">
      <c r="B281" s="4" t="s">
        <v>161</v>
      </c>
      <c r="C281" s="4" t="s">
        <v>504</v>
      </c>
      <c r="D281" s="4">
        <v>52</v>
      </c>
      <c r="E281" s="4" t="s">
        <v>505</v>
      </c>
      <c r="U281" s="4" t="s">
        <v>161</v>
      </c>
    </row>
    <row r="282" spans="2:21">
      <c r="B282" s="4" t="s">
        <v>161</v>
      </c>
      <c r="C282" s="4" t="s">
        <v>506</v>
      </c>
      <c r="D282" s="4">
        <v>55</v>
      </c>
      <c r="E282" s="4" t="s">
        <v>507</v>
      </c>
      <c r="U282" s="4" t="s">
        <v>161</v>
      </c>
    </row>
    <row r="283" spans="2:21">
      <c r="B283" s="4" t="s">
        <v>176</v>
      </c>
      <c r="C283" s="4" t="s">
        <v>508</v>
      </c>
      <c r="D283" s="4">
        <v>0</v>
      </c>
      <c r="E283" s="4" t="s">
        <v>509</v>
      </c>
      <c r="U283" s="4" t="s">
        <v>176</v>
      </c>
    </row>
    <row r="284" spans="2:21">
      <c r="B284" s="4" t="s">
        <v>168</v>
      </c>
      <c r="C284" s="4" t="s">
        <v>510</v>
      </c>
      <c r="D284" s="4">
        <v>25</v>
      </c>
      <c r="E284" s="4" t="s">
        <v>511</v>
      </c>
      <c r="U284" s="4" t="s">
        <v>168</v>
      </c>
    </row>
    <row r="285" spans="2:21">
      <c r="B285" s="4" t="s">
        <v>159</v>
      </c>
      <c r="C285" s="4" t="s">
        <v>512</v>
      </c>
      <c r="D285" s="4">
        <v>2</v>
      </c>
      <c r="E285" s="4" t="s">
        <v>513</v>
      </c>
      <c r="U285" s="4" t="s">
        <v>159</v>
      </c>
    </row>
    <row r="286" spans="2:21">
      <c r="B286" s="4" t="s">
        <v>162</v>
      </c>
      <c r="C286" s="4" t="s">
        <v>514</v>
      </c>
      <c r="D286" s="4">
        <v>35</v>
      </c>
      <c r="E286" s="4" t="s">
        <v>515</v>
      </c>
      <c r="U286" s="4" t="s">
        <v>162</v>
      </c>
    </row>
    <row r="287" spans="2:21">
      <c r="B287" s="4" t="s">
        <v>162</v>
      </c>
      <c r="C287" s="4" t="s">
        <v>516</v>
      </c>
      <c r="D287" s="4">
        <v>35</v>
      </c>
      <c r="E287" s="4" t="s">
        <v>517</v>
      </c>
      <c r="U287" s="4" t="s">
        <v>162</v>
      </c>
    </row>
    <row r="288" spans="2:21">
      <c r="B288" s="4" t="s">
        <v>168</v>
      </c>
      <c r="C288" s="4" t="s">
        <v>518</v>
      </c>
      <c r="D288" s="4">
        <v>5</v>
      </c>
      <c r="E288" s="4" t="s">
        <v>519</v>
      </c>
      <c r="U288" s="4" t="s">
        <v>168</v>
      </c>
    </row>
    <row r="289" spans="2:21">
      <c r="B289" s="4" t="s">
        <v>157</v>
      </c>
      <c r="C289" s="4" t="s">
        <v>520</v>
      </c>
      <c r="D289" s="4">
        <v>3</v>
      </c>
      <c r="E289" s="4" t="s">
        <v>521</v>
      </c>
      <c r="U289" s="4" t="s">
        <v>157</v>
      </c>
    </row>
    <row r="290" spans="2:21">
      <c r="B290" s="4" t="s">
        <v>169</v>
      </c>
      <c r="C290" s="4" t="s">
        <v>522</v>
      </c>
      <c r="D290" s="4">
        <v>35</v>
      </c>
      <c r="E290" s="4" t="s">
        <v>523</v>
      </c>
      <c r="U290" s="4" t="s">
        <v>169</v>
      </c>
    </row>
    <row r="291" spans="2:21">
      <c r="B291" s="4" t="s">
        <v>162</v>
      </c>
      <c r="C291" s="4" t="s">
        <v>524</v>
      </c>
      <c r="D291" s="4">
        <v>30</v>
      </c>
      <c r="E291" s="4" t="s">
        <v>517</v>
      </c>
      <c r="U291" s="4" t="s">
        <v>162</v>
      </c>
    </row>
    <row r="292" spans="2:21">
      <c r="B292" s="4" t="s">
        <v>162</v>
      </c>
      <c r="C292" s="4" t="s">
        <v>525</v>
      </c>
      <c r="D292" s="4">
        <v>30</v>
      </c>
      <c r="E292" s="4" t="s">
        <v>517</v>
      </c>
      <c r="U292" s="4" t="s">
        <v>162</v>
      </c>
    </row>
    <row r="293" spans="2:21">
      <c r="B293" s="4" t="s">
        <v>162</v>
      </c>
      <c r="C293" s="4" t="s">
        <v>526</v>
      </c>
      <c r="D293" s="4" t="s">
        <v>527</v>
      </c>
      <c r="E293" s="4" t="s">
        <v>528</v>
      </c>
      <c r="U293" s="4" t="s">
        <v>162</v>
      </c>
    </row>
    <row r="294" spans="2:21">
      <c r="B294" s="4" t="s">
        <v>168</v>
      </c>
      <c r="C294" s="4" t="s">
        <v>529</v>
      </c>
      <c r="D294" s="4" t="s">
        <v>479</v>
      </c>
      <c r="E294" s="4" t="s">
        <v>511</v>
      </c>
      <c r="U294" s="4" t="s">
        <v>168</v>
      </c>
    </row>
    <row r="295" spans="2:21">
      <c r="B295" s="4" t="s">
        <v>168</v>
      </c>
      <c r="C295" s="4" t="s">
        <v>530</v>
      </c>
      <c r="D295" s="4" t="s">
        <v>531</v>
      </c>
      <c r="E295" s="4" t="s">
        <v>532</v>
      </c>
      <c r="U295" s="4" t="s">
        <v>168</v>
      </c>
    </row>
    <row r="296" spans="2:21">
      <c r="B296" s="4" t="s">
        <v>176</v>
      </c>
      <c r="C296" s="4" t="s">
        <v>533</v>
      </c>
      <c r="D296" s="4" t="s">
        <v>475</v>
      </c>
      <c r="E296" s="4" t="s">
        <v>534</v>
      </c>
      <c r="U296" s="4" t="s">
        <v>176</v>
      </c>
    </row>
    <row r="297" spans="2:21">
      <c r="B297" s="4" t="s">
        <v>176</v>
      </c>
      <c r="C297" s="4" t="s">
        <v>535</v>
      </c>
      <c r="D297" s="4" t="s">
        <v>475</v>
      </c>
      <c r="E297" s="4" t="s">
        <v>475</v>
      </c>
      <c r="U297" s="4" t="s">
        <v>176</v>
      </c>
    </row>
    <row r="298" spans="2:21">
      <c r="B298" s="4" t="s">
        <v>176</v>
      </c>
      <c r="C298" s="4" t="s">
        <v>536</v>
      </c>
      <c r="D298" s="4" t="s">
        <v>487</v>
      </c>
      <c r="E298" s="4" t="s">
        <v>484</v>
      </c>
      <c r="U298" s="4" t="s">
        <v>176</v>
      </c>
    </row>
    <row r="299" spans="2:21">
      <c r="B299" s="4" t="s">
        <v>176</v>
      </c>
      <c r="C299" s="4" t="s">
        <v>537</v>
      </c>
      <c r="D299" s="4" t="s">
        <v>487</v>
      </c>
      <c r="E299" s="4" t="s">
        <v>538</v>
      </c>
      <c r="U299" s="4" t="s">
        <v>176</v>
      </c>
    </row>
    <row r="300" spans="2:21">
      <c r="B300" s="4" t="s">
        <v>176</v>
      </c>
      <c r="C300" s="6" t="s">
        <v>103</v>
      </c>
      <c r="D300" s="4" t="s">
        <v>496</v>
      </c>
      <c r="E300" s="4" t="s">
        <v>539</v>
      </c>
      <c r="U300" s="4" t="s">
        <v>176</v>
      </c>
    </row>
    <row r="301" spans="2:21">
      <c r="B301" s="4" t="s">
        <v>174</v>
      </c>
      <c r="C301" s="4" t="s">
        <v>540</v>
      </c>
      <c r="D301" s="4" t="s">
        <v>487</v>
      </c>
      <c r="E301" s="4" t="s">
        <v>487</v>
      </c>
      <c r="U301" s="4" t="s">
        <v>174</v>
      </c>
    </row>
    <row r="302" spans="2:21">
      <c r="B302" s="4" t="s">
        <v>169</v>
      </c>
      <c r="C302" s="6" t="s">
        <v>104</v>
      </c>
      <c r="D302" s="4">
        <v>10</v>
      </c>
      <c r="E302" s="4">
        <v>5</v>
      </c>
      <c r="U302" s="4" t="s">
        <v>169</v>
      </c>
    </row>
    <row r="303" spans="2:21">
      <c r="B303" s="4" t="s">
        <v>162</v>
      </c>
      <c r="C303" s="4" t="s">
        <v>541</v>
      </c>
      <c r="D303" s="4" t="s">
        <v>542</v>
      </c>
      <c r="E303" s="4" t="s">
        <v>473</v>
      </c>
      <c r="U303" s="4" t="s">
        <v>162</v>
      </c>
    </row>
    <row r="304" spans="2:21">
      <c r="B304" s="4" t="s">
        <v>157</v>
      </c>
      <c r="C304" s="4" t="s">
        <v>543</v>
      </c>
      <c r="D304" s="4" t="s">
        <v>487</v>
      </c>
      <c r="E304" s="4" t="s">
        <v>544</v>
      </c>
      <c r="U304" s="4" t="s">
        <v>157</v>
      </c>
    </row>
    <row r="305" spans="2:21">
      <c r="B305" s="4" t="s">
        <v>176</v>
      </c>
      <c r="C305" s="4" t="s">
        <v>545</v>
      </c>
      <c r="D305" s="4" t="s">
        <v>475</v>
      </c>
      <c r="E305" s="4" t="s">
        <v>472</v>
      </c>
      <c r="U305" s="4" t="s">
        <v>176</v>
      </c>
    </row>
    <row r="306" spans="2:21">
      <c r="B306" s="4" t="s">
        <v>171</v>
      </c>
      <c r="C306" s="4" t="s">
        <v>546</v>
      </c>
      <c r="D306" s="4" t="s">
        <v>542</v>
      </c>
      <c r="E306" s="4" t="s">
        <v>547</v>
      </c>
      <c r="U306" s="4" t="s">
        <v>171</v>
      </c>
    </row>
    <row r="307" spans="2:21">
      <c r="B307" s="4" t="s">
        <v>168</v>
      </c>
      <c r="C307" s="4" t="s">
        <v>548</v>
      </c>
      <c r="D307" s="4" t="s">
        <v>475</v>
      </c>
      <c r="E307" s="4" t="s">
        <v>549</v>
      </c>
      <c r="U307" s="4" t="s">
        <v>168</v>
      </c>
    </row>
    <row r="308" spans="2:21">
      <c r="B308" s="4" t="s">
        <v>164</v>
      </c>
      <c r="C308" s="4" t="s">
        <v>550</v>
      </c>
      <c r="D308" s="4" t="s">
        <v>487</v>
      </c>
      <c r="E308" s="4" t="s">
        <v>551</v>
      </c>
      <c r="U308" s="4" t="s">
        <v>164</v>
      </c>
    </row>
    <row r="309" spans="2:21">
      <c r="B309" s="4" t="s">
        <v>157</v>
      </c>
      <c r="C309" s="4" t="s">
        <v>552</v>
      </c>
      <c r="D309" s="4" t="s">
        <v>487</v>
      </c>
      <c r="E309" s="4" t="s">
        <v>544</v>
      </c>
      <c r="U309" s="4" t="s">
        <v>157</v>
      </c>
    </row>
    <row r="310" spans="2:21">
      <c r="B310" s="4" t="s">
        <v>157</v>
      </c>
      <c r="C310" s="4" t="s">
        <v>553</v>
      </c>
      <c r="D310" s="4" t="s">
        <v>554</v>
      </c>
      <c r="E310" s="4" t="s">
        <v>521</v>
      </c>
      <c r="U310" s="4" t="s">
        <v>157</v>
      </c>
    </row>
    <row r="311" spans="2:21">
      <c r="B311" s="4" t="s">
        <v>157</v>
      </c>
      <c r="C311" s="4" t="s">
        <v>555</v>
      </c>
      <c r="D311" s="4" t="s">
        <v>556</v>
      </c>
      <c r="E311" s="4" t="s">
        <v>557</v>
      </c>
      <c r="U311" s="4" t="s">
        <v>157</v>
      </c>
    </row>
    <row r="312" spans="2:21">
      <c r="B312" s="4" t="s">
        <v>161</v>
      </c>
      <c r="C312" s="4" t="s">
        <v>558</v>
      </c>
      <c r="D312" s="4" t="s">
        <v>559</v>
      </c>
      <c r="E312" s="4" t="s">
        <v>560</v>
      </c>
      <c r="U312" s="4" t="s">
        <v>161</v>
      </c>
    </row>
    <row r="313" spans="2:21">
      <c r="B313" s="4" t="s">
        <v>169</v>
      </c>
      <c r="C313" s="4" t="s">
        <v>562</v>
      </c>
      <c r="D313" s="4" t="s">
        <v>563</v>
      </c>
      <c r="E313" s="4" t="s">
        <v>523</v>
      </c>
      <c r="U313" s="4" t="s">
        <v>169</v>
      </c>
    </row>
    <row r="314" spans="2:21">
      <c r="B314" s="4" t="s">
        <v>162</v>
      </c>
      <c r="C314" s="4" t="s">
        <v>564</v>
      </c>
      <c r="D314" s="4" t="s">
        <v>563</v>
      </c>
      <c r="E314" s="4" t="s">
        <v>565</v>
      </c>
      <c r="U314" s="4" t="s">
        <v>162</v>
      </c>
    </row>
    <row r="315" spans="2:21">
      <c r="B315" s="4" t="s">
        <v>162</v>
      </c>
      <c r="C315" s="4" t="s">
        <v>566</v>
      </c>
      <c r="D315" s="4" t="s">
        <v>531</v>
      </c>
      <c r="E315" s="4" t="s">
        <v>561</v>
      </c>
      <c r="U315" s="4" t="s">
        <v>162</v>
      </c>
    </row>
    <row r="316" spans="2:21">
      <c r="B316" s="4" t="s">
        <v>155</v>
      </c>
      <c r="C316" s="4" t="s">
        <v>567</v>
      </c>
      <c r="D316" s="4" t="s">
        <v>568</v>
      </c>
      <c r="E316" s="4" t="s">
        <v>569</v>
      </c>
      <c r="U316" s="4" t="s">
        <v>155</v>
      </c>
    </row>
    <row r="317" spans="2:21">
      <c r="B317" s="4" t="s">
        <v>162</v>
      </c>
      <c r="C317" s="4" t="s">
        <v>571</v>
      </c>
      <c r="D317" s="4" t="s">
        <v>527</v>
      </c>
      <c r="E317" s="4" t="s">
        <v>528</v>
      </c>
      <c r="U317" s="4" t="s">
        <v>162</v>
      </c>
    </row>
    <row r="318" spans="2:21">
      <c r="B318" s="4" t="s">
        <v>168</v>
      </c>
      <c r="C318" s="4" t="s">
        <v>572</v>
      </c>
      <c r="D318" s="4" t="s">
        <v>573</v>
      </c>
      <c r="E318" s="4" t="s">
        <v>570</v>
      </c>
      <c r="U318" s="4" t="s">
        <v>168</v>
      </c>
    </row>
    <row r="319" spans="2:21">
      <c r="B319" s="4" t="s">
        <v>168</v>
      </c>
      <c r="C319" s="4" t="s">
        <v>574</v>
      </c>
      <c r="D319" s="4" t="s">
        <v>531</v>
      </c>
      <c r="E319" s="4" t="s">
        <v>532</v>
      </c>
      <c r="U319" s="4" t="s">
        <v>168</v>
      </c>
    </row>
    <row r="320" spans="2:21">
      <c r="B320" s="4" t="s">
        <v>162</v>
      </c>
      <c r="C320" s="4" t="s">
        <v>575</v>
      </c>
      <c r="D320" s="4" t="s">
        <v>576</v>
      </c>
      <c r="E320" s="4" t="s">
        <v>577</v>
      </c>
      <c r="U320" s="4" t="s">
        <v>162</v>
      </c>
    </row>
    <row r="321" spans="2:21">
      <c r="B321" s="4" t="s">
        <v>168</v>
      </c>
      <c r="C321" s="4" t="s">
        <v>578</v>
      </c>
      <c r="D321" s="4" t="s">
        <v>579</v>
      </c>
      <c r="E321" s="4" t="s">
        <v>580</v>
      </c>
      <c r="U321" s="4" t="s">
        <v>168</v>
      </c>
    </row>
    <row r="322" spans="2:21">
      <c r="B322" s="4" t="s">
        <v>177</v>
      </c>
      <c r="C322" s="4" t="s">
        <v>581</v>
      </c>
      <c r="D322" s="4" t="s">
        <v>487</v>
      </c>
      <c r="E322" s="4" t="s">
        <v>487</v>
      </c>
      <c r="U322" s="4" t="s">
        <v>177</v>
      </c>
    </row>
    <row r="323" spans="2:21">
      <c r="B323" s="4" t="s">
        <v>155</v>
      </c>
      <c r="C323" s="4" t="s">
        <v>582</v>
      </c>
      <c r="D323" s="4" t="s">
        <v>487</v>
      </c>
      <c r="E323" s="4" t="s">
        <v>583</v>
      </c>
      <c r="U323" s="4" t="s">
        <v>155</v>
      </c>
    </row>
    <row r="324" spans="2:21">
      <c r="B324" s="4" t="s">
        <v>155</v>
      </c>
      <c r="C324" s="4" t="s">
        <v>18</v>
      </c>
      <c r="D324" s="4" t="s">
        <v>568</v>
      </c>
      <c r="E324" s="4" t="s">
        <v>584</v>
      </c>
      <c r="U324" s="4" t="s">
        <v>155</v>
      </c>
    </row>
    <row r="325" spans="2:21">
      <c r="B325" s="4" t="s">
        <v>162</v>
      </c>
      <c r="C325" s="4" t="s">
        <v>585</v>
      </c>
      <c r="D325" s="4" t="s">
        <v>527</v>
      </c>
      <c r="E325" s="4" t="s">
        <v>517</v>
      </c>
      <c r="U325" s="4" t="s">
        <v>162</v>
      </c>
    </row>
    <row r="326" spans="2:21">
      <c r="B326" s="4" t="s">
        <v>169</v>
      </c>
      <c r="C326" s="4" t="s">
        <v>586</v>
      </c>
      <c r="D326" s="4" t="s">
        <v>479</v>
      </c>
      <c r="E326" s="4" t="s">
        <v>570</v>
      </c>
      <c r="U326" s="4" t="s">
        <v>169</v>
      </c>
    </row>
    <row r="327" spans="2:21">
      <c r="B327" s="4" t="s">
        <v>155</v>
      </c>
      <c r="C327" s="4" t="s">
        <v>15</v>
      </c>
      <c r="D327" s="4" t="s">
        <v>487</v>
      </c>
      <c r="E327" s="4" t="s">
        <v>587</v>
      </c>
      <c r="U327" s="4" t="s">
        <v>155</v>
      </c>
    </row>
    <row r="328" spans="2:21">
      <c r="B328" s="4" t="s">
        <v>176</v>
      </c>
      <c r="C328" s="4" t="s">
        <v>588</v>
      </c>
      <c r="D328" s="4" t="s">
        <v>475</v>
      </c>
      <c r="E328" s="4" t="s">
        <v>472</v>
      </c>
      <c r="U328" s="4" t="s">
        <v>176</v>
      </c>
    </row>
    <row r="329" spans="2:21">
      <c r="B329" s="4" t="s">
        <v>169</v>
      </c>
      <c r="C329" s="4" t="s">
        <v>589</v>
      </c>
      <c r="D329" s="4" t="s">
        <v>579</v>
      </c>
      <c r="E329" s="4" t="s">
        <v>523</v>
      </c>
      <c r="U329" s="4" t="s">
        <v>169</v>
      </c>
    </row>
    <row r="330" spans="2:21">
      <c r="B330" s="4" t="s">
        <v>157</v>
      </c>
      <c r="C330" s="4" t="s">
        <v>590</v>
      </c>
      <c r="D330" s="4" t="s">
        <v>591</v>
      </c>
      <c r="E330" s="4" t="s">
        <v>494</v>
      </c>
      <c r="U330" s="4" t="s">
        <v>157</v>
      </c>
    </row>
    <row r="331" spans="2:21">
      <c r="B331" s="4" t="s">
        <v>155</v>
      </c>
      <c r="C331" s="4" t="s">
        <v>592</v>
      </c>
      <c r="D331" s="4" t="s">
        <v>487</v>
      </c>
      <c r="E331" s="4" t="s">
        <v>587</v>
      </c>
      <c r="U331" s="4" t="s">
        <v>155</v>
      </c>
    </row>
    <row r="332" spans="2:21">
      <c r="B332" s="4" t="s">
        <v>168</v>
      </c>
      <c r="C332" s="4" t="s">
        <v>593</v>
      </c>
      <c r="D332" s="4" t="s">
        <v>532</v>
      </c>
      <c r="E332" s="4" t="s">
        <v>594</v>
      </c>
      <c r="U332" s="4" t="s">
        <v>168</v>
      </c>
    </row>
    <row r="333" spans="2:21">
      <c r="B333" s="4" t="s">
        <v>155</v>
      </c>
      <c r="C333" s="4" t="s">
        <v>595</v>
      </c>
      <c r="D333" s="4" t="s">
        <v>568</v>
      </c>
      <c r="E333" s="4" t="s">
        <v>569</v>
      </c>
      <c r="U333" s="4" t="s">
        <v>155</v>
      </c>
    </row>
    <row r="334" spans="2:21">
      <c r="B334" s="4" t="s">
        <v>169</v>
      </c>
      <c r="C334" s="4" t="s">
        <v>596</v>
      </c>
      <c r="D334" s="4" t="s">
        <v>496</v>
      </c>
      <c r="E334" s="4" t="s">
        <v>597</v>
      </c>
      <c r="U334" s="4" t="s">
        <v>169</v>
      </c>
    </row>
    <row r="335" spans="2:21">
      <c r="B335" s="4" t="s">
        <v>155</v>
      </c>
      <c r="C335" s="4" t="s">
        <v>598</v>
      </c>
      <c r="D335" s="4" t="s">
        <v>568</v>
      </c>
      <c r="E335" s="4" t="s">
        <v>569</v>
      </c>
      <c r="U335" s="4" t="s">
        <v>155</v>
      </c>
    </row>
    <row r="336" spans="2:21">
      <c r="B336" s="4" t="s">
        <v>155</v>
      </c>
      <c r="C336" s="4" t="s">
        <v>599</v>
      </c>
      <c r="D336" s="4" t="s">
        <v>568</v>
      </c>
      <c r="E336" s="4" t="s">
        <v>569</v>
      </c>
      <c r="U336" s="4" t="s">
        <v>155</v>
      </c>
    </row>
    <row r="337" spans="2:21">
      <c r="B337" s="4" t="s">
        <v>155</v>
      </c>
      <c r="C337" s="4" t="s">
        <v>9</v>
      </c>
      <c r="D337" s="4" t="s">
        <v>487</v>
      </c>
      <c r="E337" s="4" t="s">
        <v>583</v>
      </c>
      <c r="U337" s="4" t="s">
        <v>155</v>
      </c>
    </row>
    <row r="338" spans="2:21">
      <c r="B338" s="4" t="s">
        <v>161</v>
      </c>
      <c r="C338" s="4" t="s">
        <v>600</v>
      </c>
      <c r="D338" s="4" t="s">
        <v>559</v>
      </c>
      <c r="E338" s="4" t="s">
        <v>505</v>
      </c>
      <c r="U338" s="4" t="s">
        <v>161</v>
      </c>
    </row>
    <row r="339" spans="2:21">
      <c r="B339" s="4" t="s">
        <v>162</v>
      </c>
      <c r="C339" s="4" t="s">
        <v>601</v>
      </c>
      <c r="D339" s="4" t="s">
        <v>531</v>
      </c>
      <c r="E339" s="4" t="s">
        <v>561</v>
      </c>
      <c r="U339" s="4" t="s">
        <v>162</v>
      </c>
    </row>
    <row r="340" spans="2:21">
      <c r="B340" s="4" t="s">
        <v>162</v>
      </c>
      <c r="C340" s="4" t="s">
        <v>602</v>
      </c>
      <c r="D340" s="4" t="s">
        <v>563</v>
      </c>
      <c r="E340" s="4" t="s">
        <v>547</v>
      </c>
      <c r="U340" s="4" t="s">
        <v>162</v>
      </c>
    </row>
    <row r="341" spans="2:21">
      <c r="B341" s="4" t="s">
        <v>168</v>
      </c>
      <c r="C341" s="4" t="s">
        <v>603</v>
      </c>
      <c r="D341" s="4" t="s">
        <v>604</v>
      </c>
      <c r="E341" s="4" t="s">
        <v>605</v>
      </c>
      <c r="U341" s="4" t="s">
        <v>168</v>
      </c>
    </row>
    <row r="342" spans="2:21">
      <c r="B342" s="4" t="s">
        <v>174</v>
      </c>
      <c r="C342" s="4" t="s">
        <v>606</v>
      </c>
      <c r="D342" s="4" t="s">
        <v>487</v>
      </c>
      <c r="E342" s="4" t="s">
        <v>487</v>
      </c>
      <c r="U342" s="4" t="s">
        <v>174</v>
      </c>
    </row>
    <row r="343" spans="2:21">
      <c r="B343" s="4" t="s">
        <v>174</v>
      </c>
      <c r="C343" s="4" t="s">
        <v>607</v>
      </c>
      <c r="D343" s="4" t="s">
        <v>487</v>
      </c>
      <c r="E343" s="4" t="s">
        <v>487</v>
      </c>
      <c r="U343" s="4" t="s">
        <v>174</v>
      </c>
    </row>
    <row r="344" spans="2:21">
      <c r="B344" s="4" t="s">
        <v>169</v>
      </c>
      <c r="C344" s="4" t="s">
        <v>608</v>
      </c>
      <c r="D344" s="4" t="s">
        <v>475</v>
      </c>
      <c r="E344" s="4" t="s">
        <v>609</v>
      </c>
      <c r="U344" s="4" t="s">
        <v>169</v>
      </c>
    </row>
    <row r="345" spans="2:21">
      <c r="B345" s="4" t="s">
        <v>162</v>
      </c>
      <c r="C345" s="4" t="s">
        <v>610</v>
      </c>
      <c r="D345" s="4" t="s">
        <v>611</v>
      </c>
      <c r="E345" s="4" t="s">
        <v>612</v>
      </c>
      <c r="U345" s="4" t="s">
        <v>162</v>
      </c>
    </row>
    <row r="346" spans="2:21">
      <c r="B346" s="4" t="s">
        <v>169</v>
      </c>
      <c r="C346" s="4" t="s">
        <v>613</v>
      </c>
      <c r="D346" s="4" t="s">
        <v>614</v>
      </c>
      <c r="E346" s="4" t="s">
        <v>511</v>
      </c>
      <c r="U346" s="4" t="s">
        <v>169</v>
      </c>
    </row>
    <row r="347" spans="2:21">
      <c r="B347" s="4" t="s">
        <v>161</v>
      </c>
      <c r="C347" s="4" t="s">
        <v>615</v>
      </c>
      <c r="D347" s="4" t="s">
        <v>616</v>
      </c>
      <c r="E347" s="4" t="s">
        <v>507</v>
      </c>
      <c r="U347" s="4" t="s">
        <v>161</v>
      </c>
    </row>
    <row r="348" spans="2:21">
      <c r="B348" s="4" t="s">
        <v>174</v>
      </c>
      <c r="C348" s="4" t="s">
        <v>617</v>
      </c>
      <c r="D348" s="4" t="s">
        <v>487</v>
      </c>
      <c r="E348" s="4" t="s">
        <v>487</v>
      </c>
      <c r="U348" s="4" t="s">
        <v>174</v>
      </c>
    </row>
  </sheetData>
  <autoFilter ref="A6:U348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4" showButton="0"/>
    <filterColumn colId="15" showButton="0"/>
    <filterColumn colId="16" showButton="0"/>
    <filterColumn colId="17" showButton="0"/>
    <filterColumn colId="18" showButton="0"/>
  </autoFilter>
  <mergeCells count="27">
    <mergeCell ref="AV6:AV7"/>
    <mergeCell ref="AW6:AW7"/>
    <mergeCell ref="AX6:AX7"/>
    <mergeCell ref="AN6:AP6"/>
    <mergeCell ref="AQ6:AQ7"/>
    <mergeCell ref="AR6:AR7"/>
    <mergeCell ref="AS6:AS7"/>
    <mergeCell ref="AT6:AT7"/>
    <mergeCell ref="AU6:AU7"/>
    <mergeCell ref="AM6:AM7"/>
    <mergeCell ref="O6:T6"/>
    <mergeCell ref="AA6:AA7"/>
    <mergeCell ref="AB6:AB7"/>
    <mergeCell ref="AC6:AC7"/>
    <mergeCell ref="AD6:AD7"/>
    <mergeCell ref="AE6:AG6"/>
    <mergeCell ref="AH6:AH7"/>
    <mergeCell ref="AI6:AI7"/>
    <mergeCell ref="AJ6:AJ7"/>
    <mergeCell ref="AK6:AK7"/>
    <mergeCell ref="AL6:AL7"/>
    <mergeCell ref="L6:N6"/>
    <mergeCell ref="A6:A7"/>
    <mergeCell ref="B6:B7"/>
    <mergeCell ref="C6:C7"/>
    <mergeCell ref="D6:D7"/>
    <mergeCell ref="E6:K6"/>
  </mergeCells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TENTP</vt:lpstr>
      <vt:lpstr>DATA</vt:lpstr>
      <vt:lpstr>THUCDONTUAN</vt:lpstr>
      <vt:lpstr>Sheet1</vt:lpstr>
      <vt:lpstr>Chieu2</vt:lpstr>
      <vt:lpstr>Chieu3</vt:lpstr>
      <vt:lpstr>Chieu4</vt:lpstr>
      <vt:lpstr>Chieu5</vt:lpstr>
      <vt:lpstr>Chieu6</vt:lpstr>
      <vt:lpstr>Chieu7</vt:lpstr>
      <vt:lpstr>ChieuCN</vt:lpstr>
      <vt:lpstr>'THANH PHAN DD'!KcalCUNGCAP</vt:lpstr>
      <vt:lpstr>MAMON</vt:lpstr>
      <vt:lpstr>NgT_2</vt:lpstr>
      <vt:lpstr>'THANH PHAN DD'!Print_Titles</vt:lpstr>
      <vt:lpstr>Sáng2</vt:lpstr>
      <vt:lpstr>Sáng3</vt:lpstr>
      <vt:lpstr>Sáng4</vt:lpstr>
      <vt:lpstr>Sáng5</vt:lpstr>
      <vt:lpstr>Sáng6</vt:lpstr>
      <vt:lpstr>Sáng7</vt:lpstr>
      <vt:lpstr>SángCN</vt:lpstr>
      <vt:lpstr>TAMTINH</vt:lpstr>
      <vt:lpstr>THUCDONCU</vt:lpstr>
      <vt:lpstr>Trưa2</vt:lpstr>
      <vt:lpstr>Trưa3</vt:lpstr>
      <vt:lpstr>Trưa4</vt:lpstr>
      <vt:lpstr>Trưa5</vt:lpstr>
      <vt:lpstr>Trưa6</vt:lpstr>
      <vt:lpstr>Trưa7</vt:lpstr>
      <vt:lpstr>TrưaCN</vt:lpstr>
      <vt:lpstr>Vung</vt:lpstr>
      <vt:lpstr>VungNL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TAT HUONG BUI</cp:lastModifiedBy>
  <cp:lastPrinted>2019-06-13T09:18:44Z</cp:lastPrinted>
  <dcterms:created xsi:type="dcterms:W3CDTF">2019-01-28T08:45:54Z</dcterms:created>
  <dcterms:modified xsi:type="dcterms:W3CDTF">2021-04-11T07:59:38Z</dcterms:modified>
</cp:coreProperties>
</file>